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_up\MD_log\reImplementation_of_Compression_MD\"/>
    </mc:Choice>
  </mc:AlternateContent>
  <xr:revisionPtr revIDLastSave="0" documentId="13_ncr:1_{1688A41D-B7C0-4104-BDAD-436304BA66CB}" xr6:coauthVersionLast="47" xr6:coauthVersionMax="47" xr10:uidLastSave="{00000000-0000-0000-0000-000000000000}"/>
  <bookViews>
    <workbookView xWindow="41475" yWindow="1335" windowWidth="28800" windowHeight="15345" activeTab="1" xr2:uid="{1505743E-F2C6-A645-9EC7-A56F67DC2BCC}"/>
  </bookViews>
  <sheets>
    <sheet name="Xfab DPRAM choices" sheetId="1" r:id="rId1"/>
    <sheet name="dimension varies by bit 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0" i="1"/>
  <c r="L21" i="1"/>
  <c r="L27" i="1"/>
  <c r="L26" i="1"/>
  <c r="L28" i="1"/>
  <c r="L19" i="1"/>
  <c r="L18" i="1"/>
  <c r="L17" i="1"/>
  <c r="I18" i="1"/>
  <c r="I19" i="1"/>
  <c r="I20" i="1"/>
  <c r="I21" i="1"/>
  <c r="I22" i="1"/>
  <c r="I23" i="1"/>
  <c r="I24" i="1"/>
  <c r="I25" i="1"/>
  <c r="I26" i="1"/>
  <c r="I27" i="1"/>
  <c r="I28" i="1"/>
  <c r="I17" i="1"/>
  <c r="H28" i="1"/>
  <c r="J28" i="1" s="1"/>
  <c r="K28" i="1" s="1"/>
  <c r="H27" i="1"/>
  <c r="H26" i="1"/>
  <c r="H25" i="1"/>
  <c r="H24" i="1"/>
  <c r="H23" i="1"/>
  <c r="H22" i="1"/>
  <c r="H21" i="1"/>
  <c r="H20" i="1"/>
  <c r="J20" i="1" s="1"/>
  <c r="K20" i="1" s="1"/>
  <c r="H19" i="1"/>
  <c r="H18" i="1"/>
  <c r="H17" i="1"/>
  <c r="G27" i="1"/>
  <c r="G24" i="1"/>
  <c r="G25" i="1"/>
  <c r="G28" i="1"/>
  <c r="G26" i="1"/>
  <c r="G23" i="1"/>
  <c r="G20" i="1"/>
  <c r="G21" i="1"/>
  <c r="G22" i="1"/>
  <c r="G19" i="1"/>
  <c r="G18" i="1"/>
  <c r="G17" i="1"/>
  <c r="J25" i="1" l="1"/>
  <c r="K25" i="1" s="1"/>
  <c r="J21" i="1"/>
  <c r="K21" i="1" s="1"/>
  <c r="J23" i="1"/>
  <c r="K23" i="1" s="1"/>
  <c r="J22" i="1"/>
  <c r="K22" i="1" s="1"/>
  <c r="J17" i="1"/>
  <c r="K17" i="1" s="1"/>
  <c r="J18" i="1"/>
  <c r="K18" i="1" s="1"/>
  <c r="J26" i="1"/>
  <c r="K26" i="1" s="1"/>
  <c r="J24" i="1"/>
  <c r="K24" i="1" s="1"/>
  <c r="J19" i="1"/>
  <c r="K19" i="1" s="1"/>
  <c r="J27" i="1"/>
  <c r="K27" i="1" s="1"/>
</calcChain>
</file>

<file path=xl/sharedStrings.xml><?xml version="1.0" encoding="utf-8"?>
<sst xmlns="http://schemas.openxmlformats.org/spreadsheetml/2006/main" count="22" uniqueCount="17">
  <si>
    <t>Xfab dual port ram choices to buffer 2k lines of data</t>
  </si>
  <si>
    <t>Assume each pixel has 2 bits of data:</t>
  </si>
  <si>
    <t>Words</t>
  </si>
  <si>
    <t>Bits</t>
  </si>
  <si>
    <t># of blocks needed</t>
  </si>
  <si>
    <t>Which is in total 8Mb/1MB</t>
  </si>
  <si>
    <t>Width (um)</t>
  </si>
  <si>
    <t>Heights (um)</t>
  </si>
  <si>
    <t>Area (mm2)</t>
  </si>
  <si>
    <t>Area in total (mm2)</t>
  </si>
  <si>
    <t>Total one side width (mm)</t>
  </si>
  <si>
    <t>Heights (mm)</t>
  </si>
  <si>
    <t>One side area (mm2)</t>
  </si>
  <si>
    <t>Geometric area (mm2)</t>
  </si>
  <si>
    <t>...</t>
  </si>
  <si>
    <t>Total one side height</t>
  </si>
  <si>
    <t>DPRAMLP size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</si>
</sst>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4"/>
      <color theme="1"/>
      <name val="Aptos Narrow"/>
      <scheme val="minor"/>
    </font>
    <font>
      <sz val="12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3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40409</xdr:colOff>
      <xdr:row>6</xdr:row>
      <xdr:rowOff>40409</xdr:rowOff>
    </xdr:from>
    <xdr:to>
      <xdr:col>1</xdr:col>
      <xdr:colOff>161636</xdr:colOff>
      <xdr:row>6</xdr:row>
      <xdr:rowOff>161636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12B09F-32E5-BBCE-0D38-164A5F78431C}"/>
            </a:ext>
          </a:extLst>
        </xdr:cNvPr>
        <xdr:cNvSpPr/>
      </xdr:nvSpPr>
      <xdr:spPr>
        <a:xfrm>
          <a:off x="865909" y="1252682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256309</xdr:colOff>
      <xdr:row>6</xdr:row>
      <xdr:rowOff>42718</xdr:rowOff>
    </xdr:from>
    <xdr:to>
      <xdr:col>1</xdr:col>
      <xdr:colOff>377536</xdr:colOff>
      <xdr:row>6</xdr:row>
      <xdr:rowOff>163945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D22B3EC-54C7-4948-B967-39CC1963E94D}"/>
            </a:ext>
          </a:extLst>
        </xdr:cNvPr>
        <xdr:cNvSpPr/>
      </xdr:nvSpPr>
      <xdr:spPr>
        <a:xfrm>
          <a:off x="1081809" y="1254991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472209</xdr:colOff>
      <xdr:row>6</xdr:row>
      <xdr:rowOff>45028</xdr:rowOff>
    </xdr:from>
    <xdr:to>
      <xdr:col>1</xdr:col>
      <xdr:colOff>593436</xdr:colOff>
      <xdr:row>6</xdr:row>
      <xdr:rowOff>166255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2E26C8D-72F2-0040-8CD6-E1F19BCD6AC7}"/>
            </a:ext>
          </a:extLst>
        </xdr:cNvPr>
        <xdr:cNvSpPr/>
      </xdr:nvSpPr>
      <xdr:spPr>
        <a:xfrm>
          <a:off x="1297709" y="1257301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676564</xdr:colOff>
      <xdr:row>6</xdr:row>
      <xdr:rowOff>41563</xdr:rowOff>
    </xdr:from>
    <xdr:to>
      <xdr:col>1</xdr:col>
      <xdr:colOff>797791</xdr:colOff>
      <xdr:row>6</xdr:row>
      <xdr:rowOff>162790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A339ABD-258F-C846-B4E4-B92769B123E6}"/>
            </a:ext>
          </a:extLst>
        </xdr:cNvPr>
        <xdr:cNvSpPr/>
      </xdr:nvSpPr>
      <xdr:spPr>
        <a:xfrm>
          <a:off x="1502064" y="1253836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</xdr:col>
      <xdr:colOff>42718</xdr:colOff>
      <xdr:row>6</xdr:row>
      <xdr:rowOff>42718</xdr:rowOff>
    </xdr:from>
    <xdr:to>
      <xdr:col>2</xdr:col>
      <xdr:colOff>163945</xdr:colOff>
      <xdr:row>6</xdr:row>
      <xdr:rowOff>163945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3C484D6-AB41-6F43-A5BF-705E0E6035D3}"/>
            </a:ext>
          </a:extLst>
        </xdr:cNvPr>
        <xdr:cNvSpPr/>
      </xdr:nvSpPr>
      <xdr:spPr>
        <a:xfrm>
          <a:off x="1693718" y="1254991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</xdr:col>
      <xdr:colOff>258618</xdr:colOff>
      <xdr:row>6</xdr:row>
      <xdr:rowOff>45027</xdr:rowOff>
    </xdr:from>
    <xdr:to>
      <xdr:col>2</xdr:col>
      <xdr:colOff>379845</xdr:colOff>
      <xdr:row>6</xdr:row>
      <xdr:rowOff>166254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DB40240-BD01-7F42-A723-58213079D69B}"/>
            </a:ext>
          </a:extLst>
        </xdr:cNvPr>
        <xdr:cNvSpPr/>
      </xdr:nvSpPr>
      <xdr:spPr>
        <a:xfrm>
          <a:off x="1909618" y="1257300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</xdr:col>
      <xdr:colOff>474518</xdr:colOff>
      <xdr:row>6</xdr:row>
      <xdr:rowOff>47337</xdr:rowOff>
    </xdr:from>
    <xdr:to>
      <xdr:col>2</xdr:col>
      <xdr:colOff>595745</xdr:colOff>
      <xdr:row>6</xdr:row>
      <xdr:rowOff>168564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2DCA19E-283D-0648-965E-859D1317B8A7}"/>
            </a:ext>
          </a:extLst>
        </xdr:cNvPr>
        <xdr:cNvSpPr/>
      </xdr:nvSpPr>
      <xdr:spPr>
        <a:xfrm>
          <a:off x="2125518" y="1259610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</xdr:col>
      <xdr:colOff>678873</xdr:colOff>
      <xdr:row>6</xdr:row>
      <xdr:rowOff>43872</xdr:rowOff>
    </xdr:from>
    <xdr:to>
      <xdr:col>2</xdr:col>
      <xdr:colOff>800100</xdr:colOff>
      <xdr:row>6</xdr:row>
      <xdr:rowOff>165099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588CBC-DB02-1349-8882-311E992CEAB3}"/>
            </a:ext>
          </a:extLst>
        </xdr:cNvPr>
        <xdr:cNvSpPr/>
      </xdr:nvSpPr>
      <xdr:spPr>
        <a:xfrm>
          <a:off x="2329873" y="1256145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3</xdr:col>
      <xdr:colOff>45027</xdr:colOff>
      <xdr:row>6</xdr:row>
      <xdr:rowOff>50800</xdr:rowOff>
    </xdr:from>
    <xdr:to>
      <xdr:col>3</xdr:col>
      <xdr:colOff>166254</xdr:colOff>
      <xdr:row>6</xdr:row>
      <xdr:rowOff>172027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8ABB13-285E-F144-ACAF-2CF5D2615BE6}"/>
            </a:ext>
          </a:extLst>
        </xdr:cNvPr>
        <xdr:cNvSpPr/>
      </xdr:nvSpPr>
      <xdr:spPr>
        <a:xfrm>
          <a:off x="2521527" y="1263073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3</xdr:col>
      <xdr:colOff>260927</xdr:colOff>
      <xdr:row>6</xdr:row>
      <xdr:rowOff>53109</xdr:rowOff>
    </xdr:from>
    <xdr:to>
      <xdr:col>3</xdr:col>
      <xdr:colOff>382154</xdr:colOff>
      <xdr:row>6</xdr:row>
      <xdr:rowOff>174336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6512FC1-9A2B-F745-87E0-ECDB36591D2B}"/>
            </a:ext>
          </a:extLst>
        </xdr:cNvPr>
        <xdr:cNvSpPr/>
      </xdr:nvSpPr>
      <xdr:spPr>
        <a:xfrm>
          <a:off x="2737427" y="1265382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3</xdr:col>
      <xdr:colOff>476827</xdr:colOff>
      <xdr:row>6</xdr:row>
      <xdr:rowOff>55419</xdr:rowOff>
    </xdr:from>
    <xdr:to>
      <xdr:col>3</xdr:col>
      <xdr:colOff>598054</xdr:colOff>
      <xdr:row>6</xdr:row>
      <xdr:rowOff>176646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0E4ABEA-3738-D54F-A8E8-25625CCE4A6C}"/>
            </a:ext>
          </a:extLst>
        </xdr:cNvPr>
        <xdr:cNvSpPr/>
      </xdr:nvSpPr>
      <xdr:spPr>
        <a:xfrm>
          <a:off x="2953327" y="1267692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3</xdr:col>
      <xdr:colOff>681182</xdr:colOff>
      <xdr:row>6</xdr:row>
      <xdr:rowOff>51954</xdr:rowOff>
    </xdr:from>
    <xdr:to>
      <xdr:col>3</xdr:col>
      <xdr:colOff>802409</xdr:colOff>
      <xdr:row>6</xdr:row>
      <xdr:rowOff>173181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718AE2F-1B35-A047-883C-CE7F89BA624C}"/>
            </a:ext>
          </a:extLst>
        </xdr:cNvPr>
        <xdr:cNvSpPr/>
      </xdr:nvSpPr>
      <xdr:spPr>
        <a:xfrm>
          <a:off x="3157682" y="1264227"/>
          <a:ext cx="121227" cy="1212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248684</xdr:colOff>
      <xdr:row>7</xdr:row>
      <xdr:rowOff>33264</xdr:rowOff>
    </xdr:from>
    <xdr:to>
      <xdr:col>1</xdr:col>
      <xdr:colOff>547952</xdr:colOff>
      <xdr:row>10</xdr:row>
      <xdr:rowOff>191871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DFE0E2DC-8F42-16D4-BEE0-A3ADD14C5B9C}"/>
            </a:ext>
          </a:extLst>
        </xdr:cNvPr>
        <xdr:cNvSpPr/>
      </xdr:nvSpPr>
      <xdr:spPr>
        <a:xfrm rot="5400000">
          <a:off x="844829" y="1712775"/>
          <a:ext cx="762000" cy="29926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2</xdr:col>
      <xdr:colOff>279857</xdr:colOff>
      <xdr:row>7</xdr:row>
      <xdr:rowOff>29801</xdr:rowOff>
    </xdr:from>
    <xdr:to>
      <xdr:col>2</xdr:col>
      <xdr:colOff>579125</xdr:colOff>
      <xdr:row>10</xdr:row>
      <xdr:rowOff>188408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B32CF1BD-261E-264A-A464-E0FA155402EB}"/>
            </a:ext>
          </a:extLst>
        </xdr:cNvPr>
        <xdr:cNvSpPr/>
      </xdr:nvSpPr>
      <xdr:spPr>
        <a:xfrm rot="5400000">
          <a:off x="1703514" y="1709312"/>
          <a:ext cx="762000" cy="29926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3</xdr:col>
      <xdr:colOff>27709</xdr:colOff>
      <xdr:row>8</xdr:row>
      <xdr:rowOff>56572</xdr:rowOff>
    </xdr:from>
    <xdr:to>
      <xdr:col>3</xdr:col>
      <xdr:colOff>789709</xdr:colOff>
      <xdr:row>9</xdr:row>
      <xdr:rowOff>154709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2B93F0F0-B860-FB42-9ED0-2B50990DE87F}"/>
            </a:ext>
          </a:extLst>
        </xdr:cNvPr>
        <xdr:cNvSpPr/>
      </xdr:nvSpPr>
      <xdr:spPr>
        <a:xfrm>
          <a:off x="2504209" y="1713345"/>
          <a:ext cx="762000" cy="30018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1</xdr:col>
      <xdr:colOff>41563</xdr:colOff>
      <xdr:row>3</xdr:row>
      <xdr:rowOff>41564</xdr:rowOff>
    </xdr:from>
    <xdr:to>
      <xdr:col>1</xdr:col>
      <xdr:colOff>803563</xdr:colOff>
      <xdr:row>4</xdr:row>
      <xdr:rowOff>139700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723C8D41-4114-E246-AD14-FA5D85B5E695}"/>
            </a:ext>
          </a:extLst>
        </xdr:cNvPr>
        <xdr:cNvSpPr/>
      </xdr:nvSpPr>
      <xdr:spPr>
        <a:xfrm>
          <a:off x="867063" y="647700"/>
          <a:ext cx="762000" cy="30018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2</xdr:col>
      <xdr:colOff>20782</xdr:colOff>
      <xdr:row>3</xdr:row>
      <xdr:rowOff>38100</xdr:rowOff>
    </xdr:from>
    <xdr:to>
      <xdr:col>2</xdr:col>
      <xdr:colOff>782782</xdr:colOff>
      <xdr:row>4</xdr:row>
      <xdr:rowOff>136236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5CD9B7C0-9D0A-A64C-B1EB-4A6389819207}"/>
            </a:ext>
          </a:extLst>
        </xdr:cNvPr>
        <xdr:cNvSpPr/>
      </xdr:nvSpPr>
      <xdr:spPr>
        <a:xfrm>
          <a:off x="1671782" y="644236"/>
          <a:ext cx="762000" cy="30018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3</xdr:col>
      <xdr:colOff>28864</xdr:colOff>
      <xdr:row>3</xdr:row>
      <xdr:rowOff>28864</xdr:rowOff>
    </xdr:from>
    <xdr:to>
      <xdr:col>3</xdr:col>
      <xdr:colOff>790864</xdr:colOff>
      <xdr:row>4</xdr:row>
      <xdr:rowOff>127000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6CA8F84F-7B98-AB4F-A99C-172EC3950951}"/>
            </a:ext>
          </a:extLst>
        </xdr:cNvPr>
        <xdr:cNvSpPr/>
      </xdr:nvSpPr>
      <xdr:spPr>
        <a:xfrm>
          <a:off x="2505364" y="635000"/>
          <a:ext cx="762000" cy="30018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C456-EA45-444E-8228-BB840FADC9C0}">
  <dimension ref="A2:L28"/>
  <sheetViews>
    <sheetView topLeftCell="A9" zoomScale="221" workbookViewId="0">
      <selection activeCell="A16" sqref="A16:E19"/>
    </sheetView>
  </sheetViews>
  <sheetFormatPr defaultColWidth="11" defaultRowHeight="15.6" x14ac:dyDescent="0.3"/>
  <cols>
    <col min="6" max="6" width="10.8984375" customWidth="1"/>
    <col min="7" max="7" width="13.3984375" customWidth="1"/>
    <col min="8" max="8" width="19.09765625" customWidth="1"/>
    <col min="9" max="9" width="12" bestFit="1" customWidth="1"/>
    <col min="10" max="11" width="0" hidden="1" customWidth="1"/>
  </cols>
  <sheetData>
    <row r="2" spans="1:12" x14ac:dyDescent="0.3">
      <c r="B2" s="7" t="s">
        <v>0</v>
      </c>
      <c r="C2" s="7"/>
      <c r="D2" s="7"/>
      <c r="E2" s="7"/>
      <c r="F2" s="7"/>
      <c r="G2" s="7"/>
    </row>
    <row r="3" spans="1:12" x14ac:dyDescent="0.3">
      <c r="B3" s="1"/>
      <c r="C3" s="1"/>
      <c r="D3" s="1"/>
      <c r="E3" s="1"/>
      <c r="F3" s="1"/>
      <c r="G3" s="1"/>
    </row>
    <row r="4" spans="1:12" x14ac:dyDescent="0.3">
      <c r="B4" s="1"/>
      <c r="C4" s="1"/>
      <c r="D4" s="1"/>
      <c r="E4" s="1"/>
      <c r="F4" s="1"/>
      <c r="G4" s="1"/>
    </row>
    <row r="5" spans="1:12" x14ac:dyDescent="0.3">
      <c r="B5" s="1"/>
      <c r="C5" s="1"/>
      <c r="D5" s="1"/>
      <c r="E5" s="1"/>
      <c r="F5" s="1"/>
      <c r="G5" s="1"/>
    </row>
    <row r="6" spans="1:12" x14ac:dyDescent="0.3">
      <c r="B6" s="1"/>
      <c r="C6" s="1"/>
      <c r="D6" s="1"/>
      <c r="E6" s="1"/>
      <c r="F6" s="1"/>
      <c r="G6" s="1"/>
    </row>
    <row r="7" spans="1:12" ht="18" x14ac:dyDescent="0.35">
      <c r="B7" s="1"/>
      <c r="C7" s="1"/>
      <c r="D7" s="1"/>
      <c r="E7" s="3" t="s">
        <v>14</v>
      </c>
      <c r="F7" s="1"/>
      <c r="G7" s="1"/>
    </row>
    <row r="8" spans="1:12" x14ac:dyDescent="0.3">
      <c r="B8" s="1"/>
      <c r="C8" s="1"/>
      <c r="D8" s="1"/>
      <c r="E8" s="1"/>
      <c r="F8" s="1"/>
      <c r="G8" s="1"/>
    </row>
    <row r="9" spans="1:12" x14ac:dyDescent="0.3">
      <c r="B9" s="1"/>
      <c r="C9" s="1"/>
      <c r="D9" s="1"/>
      <c r="E9" s="1"/>
      <c r="F9" s="1"/>
      <c r="G9" s="1"/>
    </row>
    <row r="10" spans="1:12" x14ac:dyDescent="0.3">
      <c r="B10" s="1"/>
      <c r="C10" s="1"/>
      <c r="D10" s="1"/>
      <c r="E10" s="1"/>
      <c r="F10" s="1"/>
      <c r="G10" s="1"/>
    </row>
    <row r="11" spans="1:12" x14ac:dyDescent="0.3">
      <c r="B11" s="1"/>
      <c r="C11" s="1"/>
      <c r="D11" s="1"/>
      <c r="E11" s="1"/>
      <c r="F11" s="1"/>
      <c r="G11" s="1"/>
    </row>
    <row r="13" spans="1:12" x14ac:dyDescent="0.3">
      <c r="A13" t="s">
        <v>1</v>
      </c>
    </row>
    <row r="14" spans="1:12" x14ac:dyDescent="0.3">
      <c r="A14" s="7" t="s">
        <v>5</v>
      </c>
      <c r="B14" s="7"/>
      <c r="C14" s="7"/>
      <c r="D14" s="7"/>
      <c r="E14" s="7"/>
      <c r="F14" s="7"/>
    </row>
    <row r="16" spans="1:12" x14ac:dyDescent="0.3">
      <c r="A16" t="s">
        <v>2</v>
      </c>
      <c r="B16" t="s">
        <v>3</v>
      </c>
      <c r="C16" t="s">
        <v>6</v>
      </c>
      <c r="D16" t="s">
        <v>7</v>
      </c>
      <c r="E16" t="s">
        <v>8</v>
      </c>
      <c r="F16" t="s">
        <v>4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15</v>
      </c>
    </row>
    <row r="17" spans="1:12" x14ac:dyDescent="0.3">
      <c r="A17" s="6">
        <v>2048</v>
      </c>
      <c r="B17" s="6">
        <v>8</v>
      </c>
      <c r="C17">
        <v>347.5</v>
      </c>
      <c r="D17">
        <v>822.1</v>
      </c>
      <c r="E17">
        <v>0.28499999999999998</v>
      </c>
      <c r="F17" s="6">
        <v>512</v>
      </c>
      <c r="G17">
        <f>E17*F17</f>
        <v>145.91999999999999</v>
      </c>
      <c r="H17">
        <f>C17*F17/2000</f>
        <v>88.96</v>
      </c>
      <c r="I17">
        <f>D17/1000</f>
        <v>0.82210000000000005</v>
      </c>
      <c r="J17">
        <f>H17*I17</f>
        <v>73.134016000000003</v>
      </c>
      <c r="K17">
        <f>J17*2</f>
        <v>146.26803200000001</v>
      </c>
      <c r="L17">
        <f>D17*F17/2000</f>
        <v>210.45760000000001</v>
      </c>
    </row>
    <row r="18" spans="1:12" x14ac:dyDescent="0.3">
      <c r="A18" s="6"/>
      <c r="B18" s="6"/>
      <c r="C18">
        <v>564.70000000000005</v>
      </c>
      <c r="D18">
        <v>462.5</v>
      </c>
      <c r="E18">
        <v>0.26</v>
      </c>
      <c r="F18" s="6"/>
      <c r="G18">
        <f>E18*F17</f>
        <v>133.12</v>
      </c>
      <c r="H18">
        <f>C18*F17/2000</f>
        <v>144.56320000000002</v>
      </c>
      <c r="I18">
        <f t="shared" ref="I18:I28" si="0">D18/1000</f>
        <v>0.46250000000000002</v>
      </c>
      <c r="J18">
        <f t="shared" ref="J18:J28" si="1">H18*I18</f>
        <v>66.86048000000001</v>
      </c>
      <c r="K18">
        <f t="shared" ref="K18:K28" si="2">J18*2</f>
        <v>133.72096000000002</v>
      </c>
      <c r="L18">
        <f>D18*F17/2000</f>
        <v>118.4</v>
      </c>
    </row>
    <row r="19" spans="1:12" x14ac:dyDescent="0.3">
      <c r="A19" s="6"/>
      <c r="B19" s="6"/>
      <c r="C19">
        <v>999.3</v>
      </c>
      <c r="D19">
        <v>284.5</v>
      </c>
      <c r="E19">
        <v>0.28100000000000003</v>
      </c>
      <c r="F19" s="6"/>
      <c r="G19">
        <f>E19*F17</f>
        <v>143.87200000000001</v>
      </c>
      <c r="H19">
        <f>C19*F17/2000</f>
        <v>255.82079999999999</v>
      </c>
      <c r="I19">
        <f t="shared" si="0"/>
        <v>0.28449999999999998</v>
      </c>
      <c r="J19">
        <f t="shared" si="1"/>
        <v>72.781017599999984</v>
      </c>
      <c r="K19">
        <f t="shared" si="2"/>
        <v>145.56203519999997</v>
      </c>
      <c r="L19">
        <f>D19*F17/2000</f>
        <v>72.831999999999994</v>
      </c>
    </row>
    <row r="20" spans="1:12" x14ac:dyDescent="0.3">
      <c r="A20" s="6">
        <v>2048</v>
      </c>
      <c r="B20" s="6">
        <v>16</v>
      </c>
      <c r="C20" s="2">
        <v>567.29999999999995</v>
      </c>
      <c r="D20" s="2">
        <v>831.1</v>
      </c>
      <c r="E20">
        <v>0.46800000000000003</v>
      </c>
      <c r="F20" s="6">
        <v>256</v>
      </c>
      <c r="G20">
        <f>E20*F20</f>
        <v>119.80800000000001</v>
      </c>
      <c r="H20">
        <f>C20*F20/2000</f>
        <v>72.614399999999989</v>
      </c>
      <c r="I20">
        <f t="shared" si="0"/>
        <v>0.83110000000000006</v>
      </c>
      <c r="J20">
        <f t="shared" si="1"/>
        <v>60.349827839999996</v>
      </c>
      <c r="K20">
        <f t="shared" si="2"/>
        <v>120.69965567999999</v>
      </c>
      <c r="L20">
        <f t="shared" ref="L20" si="3">D20*F20/2000</f>
        <v>106.38080000000001</v>
      </c>
    </row>
    <row r="21" spans="1:12" x14ac:dyDescent="0.3">
      <c r="A21" s="6"/>
      <c r="B21" s="6"/>
      <c r="C21" s="2">
        <v>1004.3</v>
      </c>
      <c r="D21">
        <v>471.4</v>
      </c>
      <c r="E21" s="2">
        <v>0.46700000000000003</v>
      </c>
      <c r="F21" s="6"/>
      <c r="G21">
        <f>E21*F20</f>
        <v>119.55200000000001</v>
      </c>
      <c r="H21">
        <f>C21*F20/2000</f>
        <v>128.5504</v>
      </c>
      <c r="I21">
        <f t="shared" si="0"/>
        <v>0.47139999999999999</v>
      </c>
      <c r="J21">
        <f t="shared" si="1"/>
        <v>60.598658559999997</v>
      </c>
      <c r="K21">
        <f t="shared" si="2"/>
        <v>121.19731711999999</v>
      </c>
      <c r="L21">
        <f t="shared" ref="L21" si="4">D21*F20/2000</f>
        <v>60.339199999999998</v>
      </c>
    </row>
    <row r="22" spans="1:12" x14ac:dyDescent="0.3">
      <c r="A22" s="6"/>
      <c r="B22" s="6"/>
      <c r="C22" s="2">
        <v>1878.7</v>
      </c>
      <c r="D22" s="2">
        <v>293.5</v>
      </c>
      <c r="E22" s="2">
        <v>0.53800000000000003</v>
      </c>
      <c r="F22" s="6"/>
      <c r="G22">
        <f>E22*F20</f>
        <v>137.72800000000001</v>
      </c>
      <c r="H22">
        <f>C22*F20/2000</f>
        <v>240.4736</v>
      </c>
      <c r="I22">
        <f t="shared" si="0"/>
        <v>0.29349999999999998</v>
      </c>
      <c r="J22">
        <f t="shared" si="1"/>
        <v>70.579001599999998</v>
      </c>
      <c r="K22">
        <f t="shared" si="2"/>
        <v>141.1580032</v>
      </c>
      <c r="L22">
        <f>D22*F20/2000</f>
        <v>37.567999999999998</v>
      </c>
    </row>
    <row r="23" spans="1:12" x14ac:dyDescent="0.3">
      <c r="A23" s="6">
        <v>2048</v>
      </c>
      <c r="B23" s="6">
        <v>32</v>
      </c>
      <c r="C23" s="2">
        <v>1007</v>
      </c>
      <c r="D23" s="2">
        <v>849</v>
      </c>
      <c r="E23" s="2">
        <v>0.84</v>
      </c>
      <c r="F23" s="8">
        <v>128</v>
      </c>
      <c r="G23">
        <f>E23*F23</f>
        <v>107.52</v>
      </c>
      <c r="H23">
        <f>C23*F23/2000</f>
        <v>64.447999999999993</v>
      </c>
      <c r="I23">
        <f t="shared" si="0"/>
        <v>0.84899999999999998</v>
      </c>
      <c r="J23">
        <f t="shared" si="1"/>
        <v>54.716351999999993</v>
      </c>
      <c r="K23">
        <f t="shared" si="2"/>
        <v>109.43270399999999</v>
      </c>
      <c r="L23">
        <f>D23*F23/2000</f>
        <v>54.335999999999999</v>
      </c>
    </row>
    <row r="24" spans="1:12" x14ac:dyDescent="0.3">
      <c r="A24" s="6"/>
      <c r="B24" s="6"/>
      <c r="C24" s="2">
        <v>1883.7</v>
      </c>
      <c r="D24" s="2">
        <v>489.4</v>
      </c>
      <c r="E24" s="2">
        <v>0.89200000000000002</v>
      </c>
      <c r="F24" s="8"/>
      <c r="G24">
        <f>E24*F23</f>
        <v>114.176</v>
      </c>
      <c r="H24">
        <f>C24*F23/2000</f>
        <v>120.55680000000001</v>
      </c>
      <c r="I24">
        <f t="shared" si="0"/>
        <v>0.4894</v>
      </c>
      <c r="J24">
        <f t="shared" si="1"/>
        <v>59.000497920000008</v>
      </c>
      <c r="K24">
        <f t="shared" si="2"/>
        <v>118.00099584000002</v>
      </c>
      <c r="L24">
        <f>D24*F23/2000</f>
        <v>31.3216</v>
      </c>
    </row>
    <row r="25" spans="1:12" x14ac:dyDescent="0.3">
      <c r="A25" s="6"/>
      <c r="B25" s="6"/>
      <c r="C25" s="2">
        <v>3637.4</v>
      </c>
      <c r="D25" s="2">
        <v>311.39999999999998</v>
      </c>
      <c r="E25" s="2">
        <v>1.0740000000000001</v>
      </c>
      <c r="F25" s="8"/>
      <c r="G25">
        <f>E25*F23</f>
        <v>137.47200000000001</v>
      </c>
      <c r="H25">
        <f>C25*F23/2000</f>
        <v>232.7936</v>
      </c>
      <c r="I25">
        <f t="shared" si="0"/>
        <v>0.31139999999999995</v>
      </c>
      <c r="J25">
        <f t="shared" si="1"/>
        <v>72.491927039999993</v>
      </c>
      <c r="K25">
        <f t="shared" si="2"/>
        <v>144.98385407999999</v>
      </c>
      <c r="L25">
        <f>D25*F23/2000</f>
        <v>19.929599999999997</v>
      </c>
    </row>
    <row r="26" spans="1:12" x14ac:dyDescent="0.3">
      <c r="A26" s="6">
        <v>2048</v>
      </c>
      <c r="B26" s="6">
        <v>64</v>
      </c>
      <c r="C26" s="2">
        <v>1886.4</v>
      </c>
      <c r="D26" s="2">
        <v>884.9</v>
      </c>
      <c r="E26" s="2">
        <v>1.6080000000000001</v>
      </c>
      <c r="F26" s="8">
        <v>64</v>
      </c>
      <c r="G26">
        <f>E26*F26</f>
        <v>102.91200000000001</v>
      </c>
      <c r="H26">
        <f>C26*F26/2000</f>
        <v>60.364800000000002</v>
      </c>
      <c r="I26">
        <f t="shared" si="0"/>
        <v>0.88490000000000002</v>
      </c>
      <c r="J26">
        <f t="shared" si="1"/>
        <v>53.416811520000003</v>
      </c>
      <c r="K26">
        <f t="shared" si="2"/>
        <v>106.83362304000001</v>
      </c>
      <c r="L26">
        <f t="shared" ref="L26" si="5">D26*F26/2000</f>
        <v>28.316800000000001</v>
      </c>
    </row>
    <row r="27" spans="1:12" x14ac:dyDescent="0.3">
      <c r="A27" s="6"/>
      <c r="B27" s="6"/>
      <c r="C27" s="2">
        <v>3642.4</v>
      </c>
      <c r="D27" s="2">
        <v>525.20000000000005</v>
      </c>
      <c r="E27" s="2">
        <v>1.7909999999999999</v>
      </c>
      <c r="F27" s="8"/>
      <c r="G27">
        <f>E27*F26</f>
        <v>114.624</v>
      </c>
      <c r="H27">
        <f>C27*F26/2000</f>
        <v>116.55680000000001</v>
      </c>
      <c r="I27">
        <f t="shared" si="0"/>
        <v>0.5252</v>
      </c>
      <c r="J27">
        <f t="shared" si="1"/>
        <v>61.215631360000003</v>
      </c>
      <c r="K27">
        <f t="shared" si="2"/>
        <v>122.43126272000001</v>
      </c>
      <c r="L27">
        <f>D27*F26/2000</f>
        <v>16.8064</v>
      </c>
    </row>
    <row r="28" spans="1:12" x14ac:dyDescent="0.3">
      <c r="A28" s="1">
        <v>2048</v>
      </c>
      <c r="B28" s="1">
        <v>128</v>
      </c>
      <c r="C28" s="2">
        <v>3645.1</v>
      </c>
      <c r="D28" s="2">
        <v>956.5</v>
      </c>
      <c r="E28" s="2">
        <v>3.238</v>
      </c>
      <c r="F28" s="1">
        <v>32</v>
      </c>
      <c r="G28">
        <f>E28*F28</f>
        <v>103.616</v>
      </c>
      <c r="H28">
        <f>C28*F28/2000</f>
        <v>58.321599999999997</v>
      </c>
      <c r="I28">
        <f t="shared" si="0"/>
        <v>0.95650000000000002</v>
      </c>
      <c r="J28">
        <f t="shared" si="1"/>
        <v>55.784610399999998</v>
      </c>
      <c r="K28">
        <f t="shared" si="2"/>
        <v>111.5692208</v>
      </c>
      <c r="L28">
        <f>D28*F28/2000</f>
        <v>15.304</v>
      </c>
    </row>
  </sheetData>
  <mergeCells count="14">
    <mergeCell ref="A23:A25"/>
    <mergeCell ref="B23:B25"/>
    <mergeCell ref="F23:F25"/>
    <mergeCell ref="A26:A27"/>
    <mergeCell ref="B26:B27"/>
    <mergeCell ref="F26:F27"/>
    <mergeCell ref="A20:A22"/>
    <mergeCell ref="B20:B22"/>
    <mergeCell ref="F20:F22"/>
    <mergeCell ref="B2:G2"/>
    <mergeCell ref="A14:F14"/>
    <mergeCell ref="A17:A19"/>
    <mergeCell ref="B17:B19"/>
    <mergeCell ref="F17:F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E7EB-CE72-304D-9AFB-E4A69DB57628}">
  <dimension ref="A2:E19"/>
  <sheetViews>
    <sheetView tabSelected="1" topLeftCell="A19" zoomScale="290" workbookViewId="0">
      <selection activeCell="D18" sqref="D18"/>
    </sheetView>
  </sheetViews>
  <sheetFormatPr defaultColWidth="11" defaultRowHeight="15.6" x14ac:dyDescent="0.3"/>
  <sheetData>
    <row r="2" spans="1:5" x14ac:dyDescent="0.3">
      <c r="B2" s="10" t="s">
        <v>16</v>
      </c>
      <c r="C2" s="10"/>
      <c r="D2" s="10"/>
    </row>
    <row r="4" spans="1:5" x14ac:dyDescent="0.3">
      <c r="A4" s="4" t="s">
        <v>2</v>
      </c>
      <c r="B4" s="4" t="s">
        <v>3</v>
      </c>
      <c r="C4" s="4" t="s">
        <v>6</v>
      </c>
      <c r="D4" s="4" t="s">
        <v>7</v>
      </c>
      <c r="E4" s="4" t="s">
        <v>8</v>
      </c>
    </row>
    <row r="5" spans="1:5" x14ac:dyDescent="0.3">
      <c r="A5" s="9">
        <v>2048</v>
      </c>
      <c r="B5" s="9">
        <v>8</v>
      </c>
      <c r="C5" s="4">
        <v>347.5</v>
      </c>
      <c r="D5" s="4">
        <v>822.1</v>
      </c>
      <c r="E5" s="4">
        <v>0.28499999999999998</v>
      </c>
    </row>
    <row r="6" spans="1:5" x14ac:dyDescent="0.3">
      <c r="A6" s="9"/>
      <c r="B6" s="9"/>
      <c r="C6" s="4">
        <v>564.70000000000005</v>
      </c>
      <c r="D6" s="4">
        <v>462.5</v>
      </c>
      <c r="E6" s="4">
        <v>0.26</v>
      </c>
    </row>
    <row r="7" spans="1:5" x14ac:dyDescent="0.3">
      <c r="A7" s="9"/>
      <c r="B7" s="9"/>
      <c r="C7" s="4">
        <v>999.3</v>
      </c>
      <c r="D7" s="4">
        <v>284.5</v>
      </c>
      <c r="E7" s="4">
        <v>0.28100000000000003</v>
      </c>
    </row>
    <row r="8" spans="1:5" x14ac:dyDescent="0.3">
      <c r="A8" s="9">
        <v>2048</v>
      </c>
      <c r="B8" s="9">
        <v>7</v>
      </c>
      <c r="C8" s="4">
        <v>320</v>
      </c>
      <c r="D8" s="4">
        <v>821</v>
      </c>
      <c r="E8" s="4">
        <v>0.26200000000000001</v>
      </c>
    </row>
    <row r="9" spans="1:5" x14ac:dyDescent="0.3">
      <c r="A9" s="9"/>
      <c r="B9" s="9"/>
      <c r="C9" s="4">
        <v>509.7</v>
      </c>
      <c r="D9" s="4">
        <v>461.4</v>
      </c>
      <c r="E9" s="4">
        <v>0.23400000000000001</v>
      </c>
    </row>
    <row r="10" spans="1:5" x14ac:dyDescent="0.3">
      <c r="A10" s="9"/>
      <c r="B10" s="9"/>
      <c r="C10" s="4">
        <v>889.4</v>
      </c>
      <c r="D10" s="4">
        <v>283.39999999999998</v>
      </c>
      <c r="E10" s="4">
        <v>0.25</v>
      </c>
    </row>
    <row r="11" spans="1:5" x14ac:dyDescent="0.3">
      <c r="A11" s="9">
        <v>2048</v>
      </c>
      <c r="B11" s="9">
        <v>6</v>
      </c>
      <c r="C11" s="4">
        <v>292.5</v>
      </c>
      <c r="D11" s="4">
        <v>819.9</v>
      </c>
      <c r="E11" s="4">
        <v>0.23899999999999999</v>
      </c>
    </row>
    <row r="12" spans="1:5" x14ac:dyDescent="0.3">
      <c r="A12" s="9">
        <v>2048</v>
      </c>
      <c r="B12" s="9"/>
      <c r="C12" s="4">
        <v>454.7</v>
      </c>
      <c r="D12" s="4">
        <v>460.2</v>
      </c>
      <c r="E12" s="4">
        <v>0.20899999999999999</v>
      </c>
    </row>
    <row r="13" spans="1:5" x14ac:dyDescent="0.3">
      <c r="A13" s="9"/>
      <c r="B13" s="9"/>
      <c r="C13" s="4">
        <v>779.5</v>
      </c>
      <c r="D13" s="4">
        <v>282.3</v>
      </c>
      <c r="E13" s="4">
        <v>0.218</v>
      </c>
    </row>
    <row r="14" spans="1:5" x14ac:dyDescent="0.3">
      <c r="A14" s="9">
        <v>1024</v>
      </c>
      <c r="B14" s="9">
        <v>16</v>
      </c>
      <c r="C14" s="4">
        <v>564.70000000000005</v>
      </c>
      <c r="D14" s="4">
        <v>481.7</v>
      </c>
      <c r="E14" s="4">
        <v>0.26900000000000002</v>
      </c>
    </row>
    <row r="15" spans="1:5" x14ac:dyDescent="0.3">
      <c r="A15" s="9"/>
      <c r="B15" s="9"/>
      <c r="C15" s="4">
        <v>999.3</v>
      </c>
      <c r="D15" s="4">
        <v>296.7</v>
      </c>
      <c r="E15" s="4">
        <v>0.28999999999999998</v>
      </c>
    </row>
    <row r="16" spans="1:5" x14ac:dyDescent="0.3">
      <c r="A16" s="9"/>
      <c r="B16" s="9"/>
      <c r="C16" s="4">
        <v>1876</v>
      </c>
      <c r="D16" s="4">
        <v>206.1</v>
      </c>
      <c r="E16" s="4">
        <v>0.373</v>
      </c>
    </row>
    <row r="17" spans="1:5" x14ac:dyDescent="0.3">
      <c r="A17" s="5">
        <v>2032</v>
      </c>
      <c r="B17" s="5">
        <v>8</v>
      </c>
      <c r="C17" s="4">
        <v>347.5</v>
      </c>
      <c r="D17" s="4">
        <v>816.7</v>
      </c>
      <c r="E17" s="4">
        <v>0.28299999999999997</v>
      </c>
    </row>
    <row r="18" spans="1:5" x14ac:dyDescent="0.3">
      <c r="A18" s="9">
        <v>2016</v>
      </c>
      <c r="B18" s="9">
        <v>8</v>
      </c>
      <c r="C18" s="4">
        <v>347.5</v>
      </c>
      <c r="D18" s="4">
        <v>811.2</v>
      </c>
      <c r="E18" s="4">
        <v>0.28100000000000003</v>
      </c>
    </row>
    <row r="19" spans="1:5" x14ac:dyDescent="0.3">
      <c r="A19" s="9"/>
      <c r="B19" s="9"/>
      <c r="C19" s="4">
        <v>564.70000000000005</v>
      </c>
      <c r="D19" s="4">
        <v>457</v>
      </c>
      <c r="E19" s="4">
        <v>0.25700000000000001</v>
      </c>
    </row>
  </sheetData>
  <mergeCells count="11">
    <mergeCell ref="B2:D2"/>
    <mergeCell ref="A8:A10"/>
    <mergeCell ref="B8:B10"/>
    <mergeCell ref="A18:A19"/>
    <mergeCell ref="B18:B19"/>
    <mergeCell ref="A11:A13"/>
    <mergeCell ref="B11:B13"/>
    <mergeCell ref="A14:A16"/>
    <mergeCell ref="B14:B16"/>
    <mergeCell ref="A5:A7"/>
    <mergeCell ref="B5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Xfab DPRAM choices</vt:lpstr>
      <vt:lpstr>dimension varies by bit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Shouyu Xie</dc:creator>
  <cp:lastModifiedBy>Shouyu Xie</cp:lastModifiedBy>
  <dcterms:created xsi:type="dcterms:W3CDTF">2025-01-13T15:28:02Z</dcterms:created>
  <dcterms:modified xsi:type="dcterms:W3CDTF">2025-04-07T14:27:09Z</dcterms:modified>
</cp:coreProperties>
</file>