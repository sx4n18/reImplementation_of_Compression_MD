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shouyuxie/MD_log/reImplement_Compress/"/>
    </mc:Choice>
  </mc:AlternateContent>
  <xr:revisionPtr revIDLastSave="0" documentId="13_ncr:1_{E0F86487-4736-5D4A-B90E-B730251B09FF}" xr6:coauthVersionLast="47" xr6:coauthVersionMax="47" xr10:uidLastSave="{00000000-0000-0000-0000-000000000000}"/>
  <bookViews>
    <workbookView xWindow="0" yWindow="0" windowWidth="28800" windowHeight="18000" tabRatio="500" activeTab="2" xr2:uid="{00000000-000D-0000-FFFF-FFFF00000000}"/>
  </bookViews>
  <sheets>
    <sheet name="Xfab DPRAM choices" sheetId="1" r:id="rId1"/>
    <sheet name="dimension varies by bit size" sheetId="2" r:id="rId2"/>
    <sheet name="FPGA_choic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8" i="1" l="1"/>
  <c r="J28" i="1"/>
  <c r="K28" i="1" s="1"/>
  <c r="I28" i="1"/>
  <c r="H28" i="1"/>
  <c r="G28" i="1"/>
  <c r="L27" i="1"/>
  <c r="I27" i="1"/>
  <c r="H27" i="1"/>
  <c r="J27" i="1" s="1"/>
  <c r="K27" i="1" s="1"/>
  <c r="G27" i="1"/>
  <c r="L26" i="1"/>
  <c r="I26" i="1"/>
  <c r="J26" i="1" s="1"/>
  <c r="K26" i="1" s="1"/>
  <c r="H26" i="1"/>
  <c r="G26" i="1"/>
  <c r="L25" i="1"/>
  <c r="I25" i="1"/>
  <c r="H25" i="1"/>
  <c r="J25" i="1" s="1"/>
  <c r="K25" i="1" s="1"/>
  <c r="G25" i="1"/>
  <c r="L24" i="1"/>
  <c r="I24" i="1"/>
  <c r="H24" i="1"/>
  <c r="J24" i="1" s="1"/>
  <c r="K24" i="1" s="1"/>
  <c r="G24" i="1"/>
  <c r="L23" i="1"/>
  <c r="I23" i="1"/>
  <c r="H23" i="1"/>
  <c r="J23" i="1" s="1"/>
  <c r="K23" i="1" s="1"/>
  <c r="G23" i="1"/>
  <c r="L22" i="1"/>
  <c r="I22" i="1"/>
  <c r="J22" i="1" s="1"/>
  <c r="K22" i="1" s="1"/>
  <c r="H22" i="1"/>
  <c r="G22" i="1"/>
  <c r="L21" i="1"/>
  <c r="I21" i="1"/>
  <c r="H21" i="1"/>
  <c r="J21" i="1" s="1"/>
  <c r="K21" i="1" s="1"/>
  <c r="G21" i="1"/>
  <c r="L20" i="1"/>
  <c r="J20" i="1"/>
  <c r="K20" i="1" s="1"/>
  <c r="I20" i="1"/>
  <c r="H20" i="1"/>
  <c r="G20" i="1"/>
  <c r="L19" i="1"/>
  <c r="I19" i="1"/>
  <c r="H19" i="1"/>
  <c r="J19" i="1" s="1"/>
  <c r="K19" i="1" s="1"/>
  <c r="G19" i="1"/>
  <c r="L18" i="1"/>
  <c r="I18" i="1"/>
  <c r="J18" i="1" s="1"/>
  <c r="K18" i="1" s="1"/>
  <c r="H18" i="1"/>
  <c r="G18" i="1"/>
  <c r="L17" i="1"/>
  <c r="I17" i="1"/>
  <c r="H17" i="1"/>
  <c r="J17" i="1" s="1"/>
  <c r="K17" i="1" s="1"/>
  <c r="G17" i="1"/>
</calcChain>
</file>

<file path=xl/sharedStrings.xml><?xml version="1.0" encoding="utf-8"?>
<sst xmlns="http://schemas.openxmlformats.org/spreadsheetml/2006/main" count="60" uniqueCount="52">
  <si>
    <t>Xfab dual port ram choices to buffer 2k lines of data</t>
  </si>
  <si>
    <t>...</t>
  </si>
  <si>
    <t>Assume each pixel has 2 bits of data:</t>
  </si>
  <si>
    <t>Which is in total 8Mb/1MB</t>
  </si>
  <si>
    <t>Words</t>
  </si>
  <si>
    <t>Bits</t>
  </si>
  <si>
    <t>Width (um)</t>
  </si>
  <si>
    <t>Heights (um)</t>
  </si>
  <si>
    <t>Area (mm2)</t>
  </si>
  <si>
    <t># of blocks needed</t>
  </si>
  <si>
    <t>Area in total (mm2)</t>
  </si>
  <si>
    <t>Total one side width (mm)</t>
  </si>
  <si>
    <t>Heights (mm)</t>
  </si>
  <si>
    <t>One side area (mm2)</t>
  </si>
  <si>
    <t>Geometric area (mm2)</t>
  </si>
  <si>
    <t>Total one side height</t>
  </si>
  <si>
    <t>DPRAMLP size comparison</t>
  </si>
  <si>
    <t>FPGA choices for chip testing</t>
  </si>
  <si>
    <t>FPGA model</t>
  </si>
  <si>
    <t>FPGA chip</t>
  </si>
  <si>
    <t>Chip family</t>
  </si>
  <si>
    <t>General Pin #</t>
  </si>
  <si>
    <t>Price</t>
  </si>
  <si>
    <t>Ref Images</t>
  </si>
  <si>
    <t>Digilent Genesys ZU-3EG</t>
  </si>
  <si>
    <t>XCZU3EG-SFVC784-1-E</t>
  </si>
  <si>
    <t>Zynq Ultrascale+ MPSoC</t>
  </si>
  <si>
    <t>160-pin FMC LPC (less?)</t>
  </si>
  <si>
    <t>$1249</t>
  </si>
  <si>
    <t>Digilent Nexys Video</t>
  </si>
  <si>
    <t>XC7A200T-1SBG484C</t>
  </si>
  <si>
    <t>Artix-7</t>
  </si>
  <si>
    <t>$549</t>
  </si>
  <si>
    <t>Avnet UltraZed-EV SOM + Carrier Card</t>
  </si>
  <si>
    <t>XCZU7EV-1FBVB900E</t>
  </si>
  <si>
    <t>Zynq UltraScale+ EV</t>
  </si>
  <si>
    <t>152 user PL I/O pins</t>
  </si>
  <si>
    <t>N/A</t>
  </si>
  <si>
    <t>Opal Kelly XEM7310</t>
  </si>
  <si>
    <t>XC7A200T-1FBG484</t>
  </si>
  <si>
    <t>124 I/O samtec</t>
  </si>
  <si>
    <t>Opal Kelly ECM1900</t>
  </si>
  <si>
    <t>XCZU7EG-1FFVC1156E</t>
  </si>
  <si>
    <t xml:space="preserve">248 I/O samtec </t>
  </si>
  <si>
    <t>Opal Kelly XEM8305</t>
  </si>
  <si>
    <t>XCAU15P-2FFVB676E</t>
  </si>
  <si>
    <t xml:space="preserve">Artix UltraScale+ </t>
  </si>
  <si>
    <t>123 I/O samtec</t>
  </si>
  <si>
    <t>https://opalkelly.com/wp-content/uploads/ECM1900-SlideDeck.pdf</t>
  </si>
  <si>
    <t>https://opalkelly.com/wp-content/uploads/XEM7310-SlideDeck-1.pdf</t>
  </si>
  <si>
    <t>https://opalkelly.com/wp-content/uploads/8305micropresentation-1.pdf</t>
  </si>
  <si>
    <t>https://digilent.com/shop/genesys-zu-zynq-ultrascale-mpsoc-development-board/?srsltid=AfmBOoowYQII1o9UojQ6DLvITs0JYp-_c79JAWowi07v-pUHt2qhD9xG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</si>
</sst>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\-[$$-409]#,##0.00"/>
  </numFmts>
  <fonts count="8" x14ac:knownFonts="1">
    <font>
      <sz val="12"/>
      <color theme="1"/>
      <name val="Aptos Narrow"/>
      <family val="2"/>
      <charset val="1"/>
    </font>
    <font>
      <sz val="14"/>
      <color theme="1"/>
      <name val="Aptos Narrow"/>
      <charset val="1"/>
    </font>
    <font>
      <sz val="11"/>
      <color rgb="FF000000"/>
      <name val="Arial"/>
      <family val="2"/>
      <charset val="1"/>
    </font>
    <font>
      <sz val="12"/>
      <color rgb="FF006100"/>
      <name val="Aptos Narrow"/>
      <family val="2"/>
      <charset val="1"/>
    </font>
    <font>
      <sz val="12"/>
      <color rgb="FFFA7D00"/>
      <name val="Aptos Narrow"/>
      <family val="2"/>
      <charset val="1"/>
    </font>
    <font>
      <sz val="12"/>
      <color theme="1"/>
      <name val="Aptos Narrow"/>
      <charset val="1"/>
    </font>
    <font>
      <sz val="12"/>
      <color theme="1"/>
      <name val="Aptos Narrow"/>
      <family val="2"/>
      <charset val="1"/>
    </font>
    <font>
      <u/>
      <sz val="12"/>
      <color theme="10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1E5F5"/>
      </patternFill>
    </fill>
    <fill>
      <patternFill patternType="solid">
        <fgColor theme="4" tint="0.79989013336588644"/>
        <bgColor rgb="FFC6EFCE"/>
      </patternFill>
    </fill>
    <fill>
      <patternFill patternType="solid">
        <fgColor theme="9" tint="0.59987182226020086"/>
        <bgColor rgb="FFC6EFCE"/>
      </patternFill>
    </fill>
  </fills>
  <borders count="3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3" fillId="2" borderId="0" applyBorder="0" applyProtection="0"/>
    <xf numFmtId="0" fontId="4" fillId="0" borderId="1" applyProtection="0"/>
    <xf numFmtId="0" fontId="6" fillId="3" borderId="0" applyBorder="0" applyProtection="0"/>
    <xf numFmtId="0" fontId="7" fillId="0" borderId="0" applyNumberFormat="0" applyFill="0" applyBorder="0" applyAlignment="0" applyProtection="0"/>
  </cellStyleXfs>
  <cellXfs count="16">
    <xf numFmtId="0" fontId="0" fillId="0" borderId="0" xfId="0"/>
    <xf numFmtId="0" fontId="4" fillId="0" borderId="1" xfId="2" applyAlignment="1" applyProtection="1">
      <alignment horizontal="center"/>
    </xf>
    <xf numFmtId="0" fontId="0" fillId="0" borderId="2" xfId="0" applyBorder="1" applyAlignment="1">
      <alignment horizontal="center"/>
    </xf>
    <xf numFmtId="0" fontId="3" fillId="2" borderId="0" xfId="1" applyBorder="1" applyAlignment="1" applyProtection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2" xfId="0" applyBorder="1" applyAlignment="1">
      <alignment horizontal="center"/>
    </xf>
    <xf numFmtId="0" fontId="6" fillId="3" borderId="2" xfId="3" applyBorder="1" applyProtection="1"/>
    <xf numFmtId="0" fontId="5" fillId="0" borderId="2" xfId="0" applyFont="1" applyBorder="1"/>
    <xf numFmtId="164" fontId="0" fillId="0" borderId="0" xfId="0" applyNumberFormat="1"/>
    <xf numFmtId="0" fontId="7" fillId="0" borderId="0" xfId="4"/>
  </cellXfs>
  <cellStyles count="5">
    <cellStyle name="Excel Built-in 20% - Accent1" xfId="3" xr:uid="{00000000-0005-0000-0000-000008000000}"/>
    <cellStyle name="Excel Built-in Good" xfId="1" xr:uid="{00000000-0005-0000-0000-000006000000}"/>
    <cellStyle name="Excel Built-in Linked Cell" xfId="2" xr:uid="{00000000-0005-0000-0000-000007000000}"/>
    <cellStyle name="Hyperlink" xfId="4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E5A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1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40320</xdr:colOff>
      <xdr:row>6</xdr:row>
      <xdr:rowOff>40320</xdr:rowOff>
    </xdr:from>
    <xdr:to>
      <xdr:col>1</xdr:col>
      <xdr:colOff>161280</xdr:colOff>
      <xdr:row>6</xdr:row>
      <xdr:rowOff>161280</xdr:rowOff>
    </xdr:to>
    <xdr:sp macro="" textlink="">
      <xdr:nvSpPr>
        <xdr:cNvPr id="2" name="Rectangl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09160" y="124056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</xdr:col>
      <xdr:colOff>256320</xdr:colOff>
      <xdr:row>6</xdr:row>
      <xdr:rowOff>42840</xdr:rowOff>
    </xdr:from>
    <xdr:to>
      <xdr:col>1</xdr:col>
      <xdr:colOff>377280</xdr:colOff>
      <xdr:row>6</xdr:row>
      <xdr:rowOff>163800</xdr:rowOff>
    </xdr:to>
    <xdr:sp macro="" textlink="">
      <xdr:nvSpPr>
        <xdr:cNvPr id="3" name="Rectangl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325160" y="1243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</xdr:col>
      <xdr:colOff>472320</xdr:colOff>
      <xdr:row>6</xdr:row>
      <xdr:rowOff>45000</xdr:rowOff>
    </xdr:from>
    <xdr:to>
      <xdr:col>1</xdr:col>
      <xdr:colOff>593280</xdr:colOff>
      <xdr:row>6</xdr:row>
      <xdr:rowOff>165960</xdr:rowOff>
    </xdr:to>
    <xdr:sp macro="" textlink="">
      <xdr:nvSpPr>
        <xdr:cNvPr id="4" name="Rectangl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541160" y="12452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</xdr:col>
      <xdr:colOff>676440</xdr:colOff>
      <xdr:row>6</xdr:row>
      <xdr:rowOff>41400</xdr:rowOff>
    </xdr:from>
    <xdr:to>
      <xdr:col>1</xdr:col>
      <xdr:colOff>797400</xdr:colOff>
      <xdr:row>6</xdr:row>
      <xdr:rowOff>162360</xdr:rowOff>
    </xdr:to>
    <xdr:sp macro="" textlink="">
      <xdr:nvSpPr>
        <xdr:cNvPr id="5" name="Rectangl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745280" y="12416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</xdr:col>
      <xdr:colOff>42840</xdr:colOff>
      <xdr:row>6</xdr:row>
      <xdr:rowOff>42840</xdr:rowOff>
    </xdr:from>
    <xdr:to>
      <xdr:col>2</xdr:col>
      <xdr:colOff>163800</xdr:colOff>
      <xdr:row>6</xdr:row>
      <xdr:rowOff>163800</xdr:rowOff>
    </xdr:to>
    <xdr:sp macro="" textlink="">
      <xdr:nvSpPr>
        <xdr:cNvPr id="6" name="Rectangl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2180160" y="1243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</xdr:col>
      <xdr:colOff>258480</xdr:colOff>
      <xdr:row>6</xdr:row>
      <xdr:rowOff>45000</xdr:rowOff>
    </xdr:from>
    <xdr:to>
      <xdr:col>2</xdr:col>
      <xdr:colOff>379440</xdr:colOff>
      <xdr:row>6</xdr:row>
      <xdr:rowOff>165960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2395800" y="12452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</xdr:col>
      <xdr:colOff>474480</xdr:colOff>
      <xdr:row>6</xdr:row>
      <xdr:rowOff>47160</xdr:rowOff>
    </xdr:from>
    <xdr:to>
      <xdr:col>2</xdr:col>
      <xdr:colOff>595440</xdr:colOff>
      <xdr:row>6</xdr:row>
      <xdr:rowOff>168120</xdr:rowOff>
    </xdr:to>
    <xdr:sp macro="" textlink="">
      <xdr:nvSpPr>
        <xdr:cNvPr id="8" name="Rectangl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611800" y="124740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</xdr:col>
      <xdr:colOff>678960</xdr:colOff>
      <xdr:row>6</xdr:row>
      <xdr:rowOff>43920</xdr:rowOff>
    </xdr:from>
    <xdr:to>
      <xdr:col>2</xdr:col>
      <xdr:colOff>799920</xdr:colOff>
      <xdr:row>6</xdr:row>
      <xdr:rowOff>164880</xdr:rowOff>
    </xdr:to>
    <xdr:sp macro="" textlink="">
      <xdr:nvSpPr>
        <xdr:cNvPr id="9" name="Rectangl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2816280" y="124416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</xdr:col>
      <xdr:colOff>45000</xdr:colOff>
      <xdr:row>6</xdr:row>
      <xdr:rowOff>50760</xdr:rowOff>
    </xdr:from>
    <xdr:to>
      <xdr:col>3</xdr:col>
      <xdr:colOff>165960</xdr:colOff>
      <xdr:row>6</xdr:row>
      <xdr:rowOff>171720</xdr:rowOff>
    </xdr:to>
    <xdr:sp macro="" textlink="">
      <xdr:nvSpPr>
        <xdr:cNvPr id="10" name="Rectangl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51160" y="125100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</xdr:col>
      <xdr:colOff>261000</xdr:colOff>
      <xdr:row>6</xdr:row>
      <xdr:rowOff>53280</xdr:rowOff>
    </xdr:from>
    <xdr:to>
      <xdr:col>3</xdr:col>
      <xdr:colOff>381960</xdr:colOff>
      <xdr:row>6</xdr:row>
      <xdr:rowOff>174240</xdr:rowOff>
    </xdr:to>
    <xdr:sp macro="" textlink="">
      <xdr:nvSpPr>
        <xdr:cNvPr id="11" name="Rectangle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3467160" y="125352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</xdr:col>
      <xdr:colOff>477000</xdr:colOff>
      <xdr:row>6</xdr:row>
      <xdr:rowOff>55440</xdr:rowOff>
    </xdr:from>
    <xdr:to>
      <xdr:col>3</xdr:col>
      <xdr:colOff>597960</xdr:colOff>
      <xdr:row>6</xdr:row>
      <xdr:rowOff>176400</xdr:rowOff>
    </xdr:to>
    <xdr:sp macro="" textlink="">
      <xdr:nvSpPr>
        <xdr:cNvPr id="12" name="Rectangle 1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3683160" y="12556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</xdr:col>
      <xdr:colOff>681120</xdr:colOff>
      <xdr:row>6</xdr:row>
      <xdr:rowOff>51840</xdr:rowOff>
    </xdr:from>
    <xdr:to>
      <xdr:col>3</xdr:col>
      <xdr:colOff>802080</xdr:colOff>
      <xdr:row>6</xdr:row>
      <xdr:rowOff>172800</xdr:rowOff>
    </xdr:to>
    <xdr:sp macro="" textlink="">
      <xdr:nvSpPr>
        <xdr:cNvPr id="13" name="Rectangle 1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3887280" y="1252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</xdr:col>
      <xdr:colOff>249120</xdr:colOff>
      <xdr:row>7</xdr:row>
      <xdr:rowOff>50760</xdr:rowOff>
    </xdr:from>
    <xdr:to>
      <xdr:col>1</xdr:col>
      <xdr:colOff>547920</xdr:colOff>
      <xdr:row>11</xdr:row>
      <xdr:rowOff>9360</xdr:rowOff>
    </xdr:to>
    <xdr:sp macro="" textlink="">
      <xdr:nvSpPr>
        <xdr:cNvPr id="14" name="Rounded Rectangle 1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 rot="5400000">
          <a:off x="1087920" y="1701000"/>
          <a:ext cx="758520" cy="29880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280440</xdr:colOff>
      <xdr:row>7</xdr:row>
      <xdr:rowOff>47520</xdr:rowOff>
    </xdr:from>
    <xdr:to>
      <xdr:col>2</xdr:col>
      <xdr:colOff>579240</xdr:colOff>
      <xdr:row>11</xdr:row>
      <xdr:rowOff>6120</xdr:rowOff>
    </xdr:to>
    <xdr:sp macro="" textlink="">
      <xdr:nvSpPr>
        <xdr:cNvPr id="15" name="Rounded Rectangle 1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 rot="5400000">
          <a:off x="2187720" y="1697760"/>
          <a:ext cx="758520" cy="29880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3</xdr:col>
      <xdr:colOff>27720</xdr:colOff>
      <xdr:row>8</xdr:row>
      <xdr:rowOff>74520</xdr:rowOff>
    </xdr:from>
    <xdr:to>
      <xdr:col>3</xdr:col>
      <xdr:colOff>789480</xdr:colOff>
      <xdr:row>9</xdr:row>
      <xdr:rowOff>172080</xdr:rowOff>
    </xdr:to>
    <xdr:sp macro="" textlink="">
      <xdr:nvSpPr>
        <xdr:cNvPr id="16" name="Rounded Rectangle 1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3233880" y="1694880"/>
          <a:ext cx="761760" cy="29772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41400</xdr:colOff>
      <xdr:row>3</xdr:row>
      <xdr:rowOff>41400</xdr:rowOff>
    </xdr:from>
    <xdr:to>
      <xdr:col>1</xdr:col>
      <xdr:colOff>803160</xdr:colOff>
      <xdr:row>4</xdr:row>
      <xdr:rowOff>139320</xdr:rowOff>
    </xdr:to>
    <xdr:sp macro="" textlink="">
      <xdr:nvSpPr>
        <xdr:cNvPr id="17" name="Rounded Rectangle 1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1110240" y="64152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20880</xdr:colOff>
      <xdr:row>3</xdr:row>
      <xdr:rowOff>38160</xdr:rowOff>
    </xdr:from>
    <xdr:to>
      <xdr:col>2</xdr:col>
      <xdr:colOff>782640</xdr:colOff>
      <xdr:row>4</xdr:row>
      <xdr:rowOff>136080</xdr:rowOff>
    </xdr:to>
    <xdr:sp macro="" textlink="">
      <xdr:nvSpPr>
        <xdr:cNvPr id="18" name="Rounded Rectangle 18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2158200" y="63828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3</xdr:col>
      <xdr:colOff>28800</xdr:colOff>
      <xdr:row>3</xdr:row>
      <xdr:rowOff>28800</xdr:rowOff>
    </xdr:from>
    <xdr:to>
      <xdr:col>3</xdr:col>
      <xdr:colOff>790560</xdr:colOff>
      <xdr:row>4</xdr:row>
      <xdr:rowOff>126720</xdr:rowOff>
    </xdr:to>
    <xdr:sp macro="" textlink="">
      <xdr:nvSpPr>
        <xdr:cNvPr id="19" name="Rounded Rectangle 19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3234960" y="62892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Aptos Narrow"/>
            </a:rPr>
            <a:t>RAM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11</xdr:row>
      <xdr:rowOff>0</xdr:rowOff>
    </xdr:from>
    <xdr:to>
      <xdr:col>5</xdr:col>
      <xdr:colOff>1085880</xdr:colOff>
      <xdr:row>11</xdr:row>
      <xdr:rowOff>955080</xdr:rowOff>
    </xdr:to>
    <xdr:pic>
      <xdr:nvPicPr>
        <xdr:cNvPr id="18" name="Image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164160" y="3739680"/>
          <a:ext cx="1390680" cy="955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12</xdr:row>
      <xdr:rowOff>0</xdr:rowOff>
    </xdr:from>
    <xdr:to>
      <xdr:col>5</xdr:col>
      <xdr:colOff>1089220</xdr:colOff>
      <xdr:row>12</xdr:row>
      <xdr:rowOff>948960</xdr:rowOff>
    </xdr:to>
    <xdr:pic>
      <xdr:nvPicPr>
        <xdr:cNvPr id="19" name="Image 2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164160" y="4743360"/>
          <a:ext cx="1381320" cy="94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13</xdr:row>
      <xdr:rowOff>0</xdr:rowOff>
    </xdr:from>
    <xdr:to>
      <xdr:col>6</xdr:col>
      <xdr:colOff>360</xdr:colOff>
      <xdr:row>13</xdr:row>
      <xdr:rowOff>961200</xdr:rowOff>
    </xdr:to>
    <xdr:pic>
      <xdr:nvPicPr>
        <xdr:cNvPr id="20" name="Image 3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9164160" y="5727240"/>
          <a:ext cx="1398960" cy="96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8</xdr:row>
      <xdr:rowOff>0</xdr:rowOff>
    </xdr:from>
    <xdr:to>
      <xdr:col>6</xdr:col>
      <xdr:colOff>1729</xdr:colOff>
      <xdr:row>8</xdr:row>
      <xdr:rowOff>951840</xdr:rowOff>
    </xdr:to>
    <xdr:pic>
      <xdr:nvPicPr>
        <xdr:cNvPr id="21" name="Image 4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164160" y="1600200"/>
          <a:ext cx="1385640" cy="95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1087680</xdr:colOff>
      <xdr:row>9</xdr:row>
      <xdr:rowOff>956520</xdr:rowOff>
    </xdr:to>
    <xdr:pic>
      <xdr:nvPicPr>
        <xdr:cNvPr id="22" name="Image 5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9164160" y="2566800"/>
          <a:ext cx="1392480" cy="956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opalkelly.com/wp-content/uploads/8305micropresentation-1.pdf" TargetMode="External"/><Relationship Id="rId2" Type="http://schemas.openxmlformats.org/officeDocument/2006/relationships/hyperlink" Target="https://opalkelly.com/wp-content/uploads/XEM7310-SlideDeck-1.pdf" TargetMode="External"/><Relationship Id="rId1" Type="http://schemas.openxmlformats.org/officeDocument/2006/relationships/hyperlink" Target="https://opalkelly.com/wp-content/uploads/ECM1900-SlideDeck.pdf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digilent.com/shop/genesys-zu-zynq-ultrascale-mpsoc-development-board/?srsltid=AfmBOoowYQII1o9UojQ6DLvITs0JYp-_c79JAWowi07v-pUHt2qhD9x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28"/>
  <sheetViews>
    <sheetView zoomScale="181" zoomScaleNormal="181" workbookViewId="0">
      <selection activeCell="A16" sqref="A16"/>
    </sheetView>
  </sheetViews>
  <sheetFormatPr baseColWidth="10" defaultColWidth="11" defaultRowHeight="16" x14ac:dyDescent="0.2"/>
  <cols>
    <col min="6" max="6" width="10.83203125" customWidth="1"/>
    <col min="7" max="7" width="13.33203125" customWidth="1"/>
    <col min="8" max="8" width="19.1640625" customWidth="1"/>
    <col min="9" max="9" width="12" customWidth="1"/>
    <col min="10" max="11" width="8.33203125" hidden="1" customWidth="1"/>
  </cols>
  <sheetData>
    <row r="2" spans="1:12" x14ac:dyDescent="0.2">
      <c r="B2" s="6" t="s">
        <v>0</v>
      </c>
      <c r="C2" s="6"/>
      <c r="D2" s="6"/>
      <c r="E2" s="6"/>
      <c r="F2" s="6"/>
      <c r="G2" s="6"/>
    </row>
    <row r="3" spans="1:12" x14ac:dyDescent="0.2">
      <c r="B3" s="7"/>
      <c r="C3" s="7"/>
      <c r="D3" s="7"/>
      <c r="E3" s="7"/>
      <c r="F3" s="7"/>
      <c r="G3" s="7"/>
    </row>
    <row r="4" spans="1:12" x14ac:dyDescent="0.2">
      <c r="B4" s="7"/>
      <c r="C4" s="7"/>
      <c r="D4" s="7"/>
      <c r="E4" s="7"/>
      <c r="F4" s="7"/>
      <c r="G4" s="7"/>
    </row>
    <row r="5" spans="1:12" x14ac:dyDescent="0.2">
      <c r="B5" s="7"/>
      <c r="C5" s="7"/>
      <c r="D5" s="7"/>
      <c r="E5" s="7"/>
      <c r="F5" s="7"/>
      <c r="G5" s="7"/>
    </row>
    <row r="6" spans="1:12" x14ac:dyDescent="0.2">
      <c r="B6" s="7"/>
      <c r="C6" s="7"/>
      <c r="D6" s="7"/>
      <c r="E6" s="7"/>
      <c r="F6" s="7"/>
      <c r="G6" s="7"/>
    </row>
    <row r="7" spans="1:12" ht="19" x14ac:dyDescent="0.25">
      <c r="B7" s="7"/>
      <c r="C7" s="7"/>
      <c r="D7" s="7"/>
      <c r="E7" s="8" t="s">
        <v>1</v>
      </c>
      <c r="F7" s="7"/>
      <c r="G7" s="7"/>
    </row>
    <row r="8" spans="1:12" x14ac:dyDescent="0.2">
      <c r="B8" s="7"/>
      <c r="C8" s="7"/>
      <c r="D8" s="7"/>
      <c r="E8" s="7"/>
      <c r="F8" s="7"/>
      <c r="G8" s="7"/>
    </row>
    <row r="9" spans="1:12" x14ac:dyDescent="0.2">
      <c r="B9" s="7"/>
      <c r="C9" s="7"/>
      <c r="D9" s="7"/>
      <c r="E9" s="7"/>
      <c r="F9" s="7"/>
      <c r="G9" s="7"/>
    </row>
    <row r="10" spans="1:12" x14ac:dyDescent="0.2">
      <c r="B10" s="7"/>
      <c r="C10" s="7"/>
      <c r="D10" s="7"/>
      <c r="E10" s="7"/>
      <c r="F10" s="7"/>
      <c r="G10" s="7"/>
    </row>
    <row r="11" spans="1:12" x14ac:dyDescent="0.2">
      <c r="B11" s="7"/>
      <c r="C11" s="7"/>
      <c r="D11" s="7"/>
      <c r="E11" s="7"/>
      <c r="F11" s="7"/>
      <c r="G11" s="7"/>
    </row>
    <row r="13" spans="1:12" x14ac:dyDescent="0.2">
      <c r="A13" t="s">
        <v>2</v>
      </c>
    </row>
    <row r="14" spans="1:12" x14ac:dyDescent="0.2">
      <c r="A14" s="6" t="s">
        <v>3</v>
      </c>
      <c r="B14" s="6"/>
      <c r="C14" s="6"/>
      <c r="D14" s="6"/>
      <c r="E14" s="6"/>
      <c r="F14" s="6"/>
    </row>
    <row r="16" spans="1:12" x14ac:dyDescent="0.2">
      <c r="A16" t="s">
        <v>4</v>
      </c>
      <c r="B16" t="s">
        <v>5</v>
      </c>
      <c r="C16" t="s">
        <v>6</v>
      </c>
      <c r="D16" t="s">
        <v>7</v>
      </c>
      <c r="E16" t="s">
        <v>8</v>
      </c>
      <c r="F16" t="s">
        <v>9</v>
      </c>
      <c r="G16" t="s">
        <v>10</v>
      </c>
      <c r="H16" t="s">
        <v>11</v>
      </c>
      <c r="I16" t="s">
        <v>12</v>
      </c>
      <c r="J16" t="s">
        <v>13</v>
      </c>
      <c r="K16" t="s">
        <v>14</v>
      </c>
      <c r="L16" t="s">
        <v>15</v>
      </c>
    </row>
    <row r="17" spans="1:12" x14ac:dyDescent="0.2">
      <c r="A17" s="5">
        <v>2048</v>
      </c>
      <c r="B17" s="5">
        <v>8</v>
      </c>
      <c r="C17">
        <v>347.5</v>
      </c>
      <c r="D17">
        <v>822.1</v>
      </c>
      <c r="E17">
        <v>0.28499999999999998</v>
      </c>
      <c r="F17" s="5">
        <v>512</v>
      </c>
      <c r="G17">
        <f>E17*F17</f>
        <v>145.91999999999999</v>
      </c>
      <c r="H17">
        <f>C17*F17/2000</f>
        <v>88.96</v>
      </c>
      <c r="I17">
        <f t="shared" ref="I17:I28" si="0">D17/1000</f>
        <v>0.82210000000000005</v>
      </c>
      <c r="J17">
        <f t="shared" ref="J17:J28" si="1">H17*I17</f>
        <v>73.134016000000003</v>
      </c>
      <c r="K17">
        <f t="shared" ref="K17:K28" si="2">J17*2</f>
        <v>146.26803200000001</v>
      </c>
      <c r="L17">
        <f>D17*F17/2000</f>
        <v>210.45760000000001</v>
      </c>
    </row>
    <row r="18" spans="1:12" x14ac:dyDescent="0.2">
      <c r="A18" s="5"/>
      <c r="B18" s="5"/>
      <c r="C18">
        <v>564.70000000000005</v>
      </c>
      <c r="D18">
        <v>462.5</v>
      </c>
      <c r="E18">
        <v>0.26</v>
      </c>
      <c r="F18" s="5"/>
      <c r="G18">
        <f>E18*F17</f>
        <v>133.12</v>
      </c>
      <c r="H18">
        <f>C18*F17/2000</f>
        <v>144.56320000000002</v>
      </c>
      <c r="I18">
        <f t="shared" si="0"/>
        <v>0.46250000000000002</v>
      </c>
      <c r="J18">
        <f t="shared" si="1"/>
        <v>66.86048000000001</v>
      </c>
      <c r="K18">
        <f t="shared" si="2"/>
        <v>133.72096000000002</v>
      </c>
      <c r="L18">
        <f>D18*F17/2000</f>
        <v>118.4</v>
      </c>
    </row>
    <row r="19" spans="1:12" x14ac:dyDescent="0.2">
      <c r="A19" s="5"/>
      <c r="B19" s="5"/>
      <c r="C19">
        <v>999.3</v>
      </c>
      <c r="D19">
        <v>284.5</v>
      </c>
      <c r="E19">
        <v>0.28100000000000003</v>
      </c>
      <c r="F19" s="5"/>
      <c r="G19">
        <f>E19*F17</f>
        <v>143.87200000000001</v>
      </c>
      <c r="H19">
        <f>C19*F17/2000</f>
        <v>255.82079999999999</v>
      </c>
      <c r="I19">
        <f t="shared" si="0"/>
        <v>0.28449999999999998</v>
      </c>
      <c r="J19">
        <f t="shared" si="1"/>
        <v>72.781017599999984</v>
      </c>
      <c r="K19">
        <f t="shared" si="2"/>
        <v>145.56203519999997</v>
      </c>
      <c r="L19">
        <f>D19*F17/2000</f>
        <v>72.831999999999994</v>
      </c>
    </row>
    <row r="20" spans="1:12" x14ac:dyDescent="0.2">
      <c r="A20" s="5">
        <v>2048</v>
      </c>
      <c r="B20" s="5">
        <v>16</v>
      </c>
      <c r="C20" s="9">
        <v>567.29999999999995</v>
      </c>
      <c r="D20" s="9">
        <v>831.1</v>
      </c>
      <c r="E20">
        <v>0.46800000000000003</v>
      </c>
      <c r="F20" s="5">
        <v>256</v>
      </c>
      <c r="G20">
        <f>E20*F20</f>
        <v>119.80800000000001</v>
      </c>
      <c r="H20">
        <f>C20*F20/2000</f>
        <v>72.614399999999989</v>
      </c>
      <c r="I20">
        <f t="shared" si="0"/>
        <v>0.83110000000000006</v>
      </c>
      <c r="J20">
        <f t="shared" si="1"/>
        <v>60.349827839999996</v>
      </c>
      <c r="K20">
        <f t="shared" si="2"/>
        <v>120.69965567999999</v>
      </c>
      <c r="L20">
        <f>D20*F20/2000</f>
        <v>106.38080000000001</v>
      </c>
    </row>
    <row r="21" spans="1:12" x14ac:dyDescent="0.2">
      <c r="A21" s="5"/>
      <c r="B21" s="5"/>
      <c r="C21" s="9">
        <v>1004.3</v>
      </c>
      <c r="D21">
        <v>471.4</v>
      </c>
      <c r="E21" s="9">
        <v>0.46700000000000003</v>
      </c>
      <c r="F21" s="5"/>
      <c r="G21">
        <f>E21*F20</f>
        <v>119.55200000000001</v>
      </c>
      <c r="H21">
        <f>C21*F20/2000</f>
        <v>128.5504</v>
      </c>
      <c r="I21">
        <f t="shared" si="0"/>
        <v>0.47139999999999999</v>
      </c>
      <c r="J21">
        <f t="shared" si="1"/>
        <v>60.598658559999997</v>
      </c>
      <c r="K21">
        <f t="shared" si="2"/>
        <v>121.19731711999999</v>
      </c>
      <c r="L21">
        <f>D21*F20/2000</f>
        <v>60.339199999999998</v>
      </c>
    </row>
    <row r="22" spans="1:12" x14ac:dyDescent="0.2">
      <c r="A22" s="5"/>
      <c r="B22" s="5"/>
      <c r="C22" s="9">
        <v>1878.7</v>
      </c>
      <c r="D22" s="9">
        <v>293.5</v>
      </c>
      <c r="E22" s="9">
        <v>0.53800000000000003</v>
      </c>
      <c r="F22" s="5"/>
      <c r="G22">
        <f>E22*F20</f>
        <v>137.72800000000001</v>
      </c>
      <c r="H22">
        <f>C22*F20/2000</f>
        <v>240.4736</v>
      </c>
      <c r="I22">
        <f t="shared" si="0"/>
        <v>0.29349999999999998</v>
      </c>
      <c r="J22">
        <f t="shared" si="1"/>
        <v>70.579001599999998</v>
      </c>
      <c r="K22">
        <f t="shared" si="2"/>
        <v>141.1580032</v>
      </c>
      <c r="L22">
        <f>D22*F20/2000</f>
        <v>37.567999999999998</v>
      </c>
    </row>
    <row r="23" spans="1:12" x14ac:dyDescent="0.2">
      <c r="A23" s="5">
        <v>2048</v>
      </c>
      <c r="B23" s="5">
        <v>32</v>
      </c>
      <c r="C23" s="9">
        <v>1007</v>
      </c>
      <c r="D23" s="9">
        <v>849</v>
      </c>
      <c r="E23" s="9">
        <v>0.84</v>
      </c>
      <c r="F23" s="4">
        <v>128</v>
      </c>
      <c r="G23">
        <f>E23*F23</f>
        <v>107.52</v>
      </c>
      <c r="H23">
        <f>C23*F23/2000</f>
        <v>64.447999999999993</v>
      </c>
      <c r="I23">
        <f t="shared" si="0"/>
        <v>0.84899999999999998</v>
      </c>
      <c r="J23">
        <f t="shared" si="1"/>
        <v>54.716351999999993</v>
      </c>
      <c r="K23">
        <f t="shared" si="2"/>
        <v>109.43270399999999</v>
      </c>
      <c r="L23">
        <f>D23*F23/2000</f>
        <v>54.335999999999999</v>
      </c>
    </row>
    <row r="24" spans="1:12" x14ac:dyDescent="0.2">
      <c r="A24" s="5"/>
      <c r="B24" s="5"/>
      <c r="C24" s="9">
        <v>1883.7</v>
      </c>
      <c r="D24" s="9">
        <v>489.4</v>
      </c>
      <c r="E24" s="9">
        <v>0.89200000000000002</v>
      </c>
      <c r="F24" s="4"/>
      <c r="G24">
        <f>E24*F23</f>
        <v>114.176</v>
      </c>
      <c r="H24">
        <f>C24*F23/2000</f>
        <v>120.55680000000001</v>
      </c>
      <c r="I24">
        <f t="shared" si="0"/>
        <v>0.4894</v>
      </c>
      <c r="J24">
        <f t="shared" si="1"/>
        <v>59.000497920000008</v>
      </c>
      <c r="K24">
        <f t="shared" si="2"/>
        <v>118.00099584000002</v>
      </c>
      <c r="L24">
        <f>D24*F23/2000</f>
        <v>31.3216</v>
      </c>
    </row>
    <row r="25" spans="1:12" x14ac:dyDescent="0.2">
      <c r="A25" s="5"/>
      <c r="B25" s="5"/>
      <c r="C25" s="9">
        <v>3637.4</v>
      </c>
      <c r="D25" s="9">
        <v>311.39999999999998</v>
      </c>
      <c r="E25" s="9">
        <v>1.0740000000000001</v>
      </c>
      <c r="F25" s="4"/>
      <c r="G25">
        <f>E25*F23</f>
        <v>137.47200000000001</v>
      </c>
      <c r="H25">
        <f>C25*F23/2000</f>
        <v>232.7936</v>
      </c>
      <c r="I25">
        <f t="shared" si="0"/>
        <v>0.31139999999999995</v>
      </c>
      <c r="J25">
        <f t="shared" si="1"/>
        <v>72.491927039999993</v>
      </c>
      <c r="K25">
        <f t="shared" si="2"/>
        <v>144.98385407999999</v>
      </c>
      <c r="L25">
        <f>D25*F23/2000</f>
        <v>19.929599999999997</v>
      </c>
    </row>
    <row r="26" spans="1:12" x14ac:dyDescent="0.2">
      <c r="A26" s="5">
        <v>2048</v>
      </c>
      <c r="B26" s="5">
        <v>64</v>
      </c>
      <c r="C26" s="9">
        <v>1886.4</v>
      </c>
      <c r="D26" s="9">
        <v>884.9</v>
      </c>
      <c r="E26" s="9">
        <v>1.6080000000000001</v>
      </c>
      <c r="F26" s="4">
        <v>64</v>
      </c>
      <c r="G26">
        <f>E26*F26</f>
        <v>102.91200000000001</v>
      </c>
      <c r="H26">
        <f>C26*F26/2000</f>
        <v>60.364800000000002</v>
      </c>
      <c r="I26">
        <f t="shared" si="0"/>
        <v>0.88490000000000002</v>
      </c>
      <c r="J26">
        <f t="shared" si="1"/>
        <v>53.416811520000003</v>
      </c>
      <c r="K26">
        <f t="shared" si="2"/>
        <v>106.83362304000001</v>
      </c>
      <c r="L26">
        <f>D26*F26/2000</f>
        <v>28.316800000000001</v>
      </c>
    </row>
    <row r="27" spans="1:12" x14ac:dyDescent="0.2">
      <c r="A27" s="5"/>
      <c r="B27" s="5"/>
      <c r="C27" s="9">
        <v>3642.4</v>
      </c>
      <c r="D27" s="9">
        <v>525.20000000000005</v>
      </c>
      <c r="E27" s="9">
        <v>1.7909999999999999</v>
      </c>
      <c r="F27" s="4"/>
      <c r="G27">
        <f>E27*F26</f>
        <v>114.624</v>
      </c>
      <c r="H27">
        <f>C27*F26/2000</f>
        <v>116.55680000000001</v>
      </c>
      <c r="I27">
        <f t="shared" si="0"/>
        <v>0.5252</v>
      </c>
      <c r="J27">
        <f t="shared" si="1"/>
        <v>61.215631360000003</v>
      </c>
      <c r="K27">
        <f t="shared" si="2"/>
        <v>122.43126272000001</v>
      </c>
      <c r="L27">
        <f>D27*F26/2000</f>
        <v>16.8064</v>
      </c>
    </row>
    <row r="28" spans="1:12" x14ac:dyDescent="0.2">
      <c r="A28" s="7">
        <v>2048</v>
      </c>
      <c r="B28" s="7">
        <v>128</v>
      </c>
      <c r="C28" s="9">
        <v>3645.1</v>
      </c>
      <c r="D28" s="9">
        <v>956.5</v>
      </c>
      <c r="E28" s="9">
        <v>3.238</v>
      </c>
      <c r="F28" s="7">
        <v>32</v>
      </c>
      <c r="G28">
        <f>E28*F28</f>
        <v>103.616</v>
      </c>
      <c r="H28">
        <f>C28*F28/2000</f>
        <v>58.321599999999997</v>
      </c>
      <c r="I28">
        <f t="shared" si="0"/>
        <v>0.95650000000000002</v>
      </c>
      <c r="J28">
        <f t="shared" si="1"/>
        <v>55.784610399999998</v>
      </c>
      <c r="K28">
        <f t="shared" si="2"/>
        <v>111.5692208</v>
      </c>
      <c r="L28">
        <f>D28*F28/2000</f>
        <v>15.304</v>
      </c>
    </row>
  </sheetData>
  <mergeCells count="14">
    <mergeCell ref="A26:A27"/>
    <mergeCell ref="B26:B27"/>
    <mergeCell ref="F26:F27"/>
    <mergeCell ref="A20:A22"/>
    <mergeCell ref="B20:B22"/>
    <mergeCell ref="F20:F22"/>
    <mergeCell ref="A23:A25"/>
    <mergeCell ref="B23:B25"/>
    <mergeCell ref="F23:F25"/>
    <mergeCell ref="B2:G2"/>
    <mergeCell ref="A14:F14"/>
    <mergeCell ref="A17:A19"/>
    <mergeCell ref="B17:B19"/>
    <mergeCell ref="F17:F19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9"/>
  <sheetViews>
    <sheetView zoomScale="181" zoomScaleNormal="181" workbookViewId="0">
      <selection activeCell="D18" sqref="D18"/>
    </sheetView>
  </sheetViews>
  <sheetFormatPr baseColWidth="10" defaultColWidth="11" defaultRowHeight="16" x14ac:dyDescent="0.2"/>
  <sheetData>
    <row r="2" spans="1:5" x14ac:dyDescent="0.2">
      <c r="B2" s="3" t="s">
        <v>16</v>
      </c>
      <c r="C2" s="3"/>
      <c r="D2" s="3"/>
    </row>
    <row r="4" spans="1:5" x14ac:dyDescent="0.2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</row>
    <row r="5" spans="1:5" x14ac:dyDescent="0.2">
      <c r="A5" s="2">
        <v>2048</v>
      </c>
      <c r="B5" s="2">
        <v>8</v>
      </c>
      <c r="C5" s="10">
        <v>347.5</v>
      </c>
      <c r="D5" s="10">
        <v>822.1</v>
      </c>
      <c r="E5" s="10">
        <v>0.28499999999999998</v>
      </c>
    </row>
    <row r="6" spans="1:5" x14ac:dyDescent="0.2">
      <c r="A6" s="2"/>
      <c r="B6" s="2"/>
      <c r="C6" s="10">
        <v>564.70000000000005</v>
      </c>
      <c r="D6" s="10">
        <v>462.5</v>
      </c>
      <c r="E6" s="10">
        <v>0.26</v>
      </c>
    </row>
    <row r="7" spans="1:5" x14ac:dyDescent="0.2">
      <c r="A7" s="2"/>
      <c r="B7" s="2"/>
      <c r="C7" s="10">
        <v>999.3</v>
      </c>
      <c r="D7" s="10">
        <v>284.5</v>
      </c>
      <c r="E7" s="10">
        <v>0.28100000000000003</v>
      </c>
    </row>
    <row r="8" spans="1:5" x14ac:dyDescent="0.2">
      <c r="A8" s="2">
        <v>2048</v>
      </c>
      <c r="B8" s="2">
        <v>7</v>
      </c>
      <c r="C8" s="10">
        <v>320</v>
      </c>
      <c r="D8" s="10">
        <v>821</v>
      </c>
      <c r="E8" s="10">
        <v>0.26200000000000001</v>
      </c>
    </row>
    <row r="9" spans="1:5" x14ac:dyDescent="0.2">
      <c r="A9" s="2"/>
      <c r="B9" s="2"/>
      <c r="C9" s="10">
        <v>509.7</v>
      </c>
      <c r="D9" s="10">
        <v>461.4</v>
      </c>
      <c r="E9" s="10">
        <v>0.23400000000000001</v>
      </c>
    </row>
    <row r="10" spans="1:5" x14ac:dyDescent="0.2">
      <c r="A10" s="2"/>
      <c r="B10" s="2"/>
      <c r="C10" s="10">
        <v>889.4</v>
      </c>
      <c r="D10" s="10">
        <v>283.39999999999998</v>
      </c>
      <c r="E10" s="10">
        <v>0.25</v>
      </c>
    </row>
    <row r="11" spans="1:5" x14ac:dyDescent="0.2">
      <c r="A11" s="2">
        <v>2048</v>
      </c>
      <c r="B11" s="2">
        <v>6</v>
      </c>
      <c r="C11" s="10">
        <v>292.5</v>
      </c>
      <c r="D11" s="10">
        <v>819.9</v>
      </c>
      <c r="E11" s="10">
        <v>0.23899999999999999</v>
      </c>
    </row>
    <row r="12" spans="1:5" x14ac:dyDescent="0.2">
      <c r="A12" s="2">
        <v>2048</v>
      </c>
      <c r="B12" s="2"/>
      <c r="C12" s="10">
        <v>454.7</v>
      </c>
      <c r="D12" s="10">
        <v>460.2</v>
      </c>
      <c r="E12" s="10">
        <v>0.20899999999999999</v>
      </c>
    </row>
    <row r="13" spans="1:5" x14ac:dyDescent="0.2">
      <c r="A13" s="2"/>
      <c r="B13" s="2"/>
      <c r="C13" s="10">
        <v>779.5</v>
      </c>
      <c r="D13" s="10">
        <v>282.3</v>
      </c>
      <c r="E13" s="10">
        <v>0.218</v>
      </c>
    </row>
    <row r="14" spans="1:5" x14ac:dyDescent="0.2">
      <c r="A14" s="2">
        <v>1024</v>
      </c>
      <c r="B14" s="2">
        <v>16</v>
      </c>
      <c r="C14" s="10">
        <v>564.70000000000005</v>
      </c>
      <c r="D14" s="10">
        <v>481.7</v>
      </c>
      <c r="E14" s="10">
        <v>0.26900000000000002</v>
      </c>
    </row>
    <row r="15" spans="1:5" x14ac:dyDescent="0.2">
      <c r="A15" s="2"/>
      <c r="B15" s="2"/>
      <c r="C15" s="10">
        <v>999.3</v>
      </c>
      <c r="D15" s="10">
        <v>296.7</v>
      </c>
      <c r="E15" s="10">
        <v>0.28999999999999998</v>
      </c>
    </row>
    <row r="16" spans="1:5" x14ac:dyDescent="0.2">
      <c r="A16" s="2"/>
      <c r="B16" s="2"/>
      <c r="C16" s="10">
        <v>1876</v>
      </c>
      <c r="D16" s="10">
        <v>206.1</v>
      </c>
      <c r="E16" s="10">
        <v>0.373</v>
      </c>
    </row>
    <row r="17" spans="1:5" x14ac:dyDescent="0.2">
      <c r="A17" s="11">
        <v>2032</v>
      </c>
      <c r="B17" s="11">
        <v>8</v>
      </c>
      <c r="C17" s="10">
        <v>347.5</v>
      </c>
      <c r="D17" s="10">
        <v>816.7</v>
      </c>
      <c r="E17" s="10">
        <v>0.28299999999999997</v>
      </c>
    </row>
    <row r="18" spans="1:5" x14ac:dyDescent="0.2">
      <c r="A18" s="2">
        <v>2016</v>
      </c>
      <c r="B18" s="2">
        <v>8</v>
      </c>
      <c r="C18" s="10">
        <v>347.5</v>
      </c>
      <c r="D18" s="10">
        <v>811.2</v>
      </c>
      <c r="E18" s="10">
        <v>0.28100000000000003</v>
      </c>
    </row>
    <row r="19" spans="1:5" x14ac:dyDescent="0.2">
      <c r="A19" s="2"/>
      <c r="B19" s="2"/>
      <c r="C19" s="10">
        <v>564.70000000000005</v>
      </c>
      <c r="D19" s="10">
        <v>457</v>
      </c>
      <c r="E19" s="10">
        <v>0.25700000000000001</v>
      </c>
    </row>
  </sheetData>
  <mergeCells count="11">
    <mergeCell ref="A11:A13"/>
    <mergeCell ref="B11:B13"/>
    <mergeCell ref="A14:A16"/>
    <mergeCell ref="B14:B16"/>
    <mergeCell ref="A18:A19"/>
    <mergeCell ref="B18:B19"/>
    <mergeCell ref="B2:D2"/>
    <mergeCell ref="A5:A7"/>
    <mergeCell ref="B5:B7"/>
    <mergeCell ref="A8:A10"/>
    <mergeCell ref="B8:B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4"/>
  <sheetViews>
    <sheetView tabSelected="1" topLeftCell="A12" zoomScale="165" zoomScaleNormal="181" workbookViewId="0">
      <selection activeCell="G10" sqref="G10"/>
    </sheetView>
  </sheetViews>
  <sheetFormatPr baseColWidth="10" defaultColWidth="10.5" defaultRowHeight="16" x14ac:dyDescent="0.2"/>
  <cols>
    <col min="1" max="1" width="21.5" customWidth="1"/>
    <col min="2" max="2" width="20.5" customWidth="1"/>
    <col min="3" max="3" width="21" customWidth="1"/>
    <col min="4" max="4" width="20.83203125" customWidth="1"/>
    <col min="6" max="6" width="14.33203125" customWidth="1"/>
  </cols>
  <sheetData>
    <row r="5" spans="1:7" x14ac:dyDescent="0.2">
      <c r="B5" s="1" t="s">
        <v>17</v>
      </c>
      <c r="C5" s="1"/>
      <c r="D5" s="1"/>
      <c r="E5" s="1"/>
    </row>
    <row r="8" spans="1:7" x14ac:dyDescent="0.2">
      <c r="A8" s="12" t="s">
        <v>18</v>
      </c>
      <c r="B8" s="12" t="s">
        <v>19</v>
      </c>
      <c r="C8" s="12" t="s">
        <v>20</v>
      </c>
      <c r="D8" s="12" t="s">
        <v>21</v>
      </c>
      <c r="E8" s="12" t="s">
        <v>22</v>
      </c>
      <c r="F8" s="12" t="s">
        <v>23</v>
      </c>
    </row>
    <row r="9" spans="1:7" ht="76" customHeight="1" x14ac:dyDescent="0.2">
      <c r="A9" s="13" t="s">
        <v>24</v>
      </c>
      <c r="B9" s="10" t="s">
        <v>25</v>
      </c>
      <c r="C9" s="13" t="s">
        <v>26</v>
      </c>
      <c r="D9" s="10" t="s">
        <v>27</v>
      </c>
      <c r="E9" s="10" t="s">
        <v>28</v>
      </c>
      <c r="G9" s="15" t="s">
        <v>51</v>
      </c>
    </row>
    <row r="10" spans="1:7" ht="76.5" customHeight="1" x14ac:dyDescent="0.2">
      <c r="A10" s="13" t="s">
        <v>29</v>
      </c>
      <c r="B10" s="10" t="s">
        <v>30</v>
      </c>
      <c r="C10" s="10" t="s">
        <v>31</v>
      </c>
      <c r="D10" s="10" t="s">
        <v>27</v>
      </c>
      <c r="E10" s="10" t="s">
        <v>32</v>
      </c>
    </row>
    <row r="11" spans="1:7" x14ac:dyDescent="0.2">
      <c r="A11" s="13" t="s">
        <v>33</v>
      </c>
      <c r="B11" s="10" t="s">
        <v>34</v>
      </c>
      <c r="C11" s="10" t="s">
        <v>35</v>
      </c>
      <c r="D11" s="10" t="s">
        <v>36</v>
      </c>
      <c r="E11" s="10" t="s">
        <v>37</v>
      </c>
    </row>
    <row r="12" spans="1:7" ht="79" customHeight="1" x14ac:dyDescent="0.2">
      <c r="A12" t="s">
        <v>38</v>
      </c>
      <c r="B12" t="s">
        <v>39</v>
      </c>
      <c r="C12" t="s">
        <v>31</v>
      </c>
      <c r="D12" t="s">
        <v>40</v>
      </c>
      <c r="E12" s="14">
        <v>799.95</v>
      </c>
      <c r="G12" s="15" t="s">
        <v>49</v>
      </c>
    </row>
    <row r="13" spans="1:7" ht="77.5" customHeight="1" x14ac:dyDescent="0.2">
      <c r="A13" t="s">
        <v>41</v>
      </c>
      <c r="B13" t="s">
        <v>42</v>
      </c>
      <c r="C13" t="s">
        <v>26</v>
      </c>
      <c r="D13" t="s">
        <v>43</v>
      </c>
      <c r="E13" s="14">
        <v>3195.95</v>
      </c>
      <c r="G13" s="15" t="s">
        <v>48</v>
      </c>
    </row>
    <row r="14" spans="1:7" ht="77" customHeight="1" x14ac:dyDescent="0.2">
      <c r="A14" t="s">
        <v>44</v>
      </c>
      <c r="B14" t="s">
        <v>45</v>
      </c>
      <c r="C14" t="s">
        <v>46</v>
      </c>
      <c r="D14" t="s">
        <v>47</v>
      </c>
      <c r="E14" s="14">
        <v>729.95</v>
      </c>
      <c r="G14" s="15" t="s">
        <v>50</v>
      </c>
    </row>
  </sheetData>
  <mergeCells count="1">
    <mergeCell ref="B5:E5"/>
  </mergeCells>
  <hyperlinks>
    <hyperlink ref="G13" r:id="rId1" xr:uid="{51A9DE6E-7D9C-DE46-9140-682545E45ECF}"/>
    <hyperlink ref="G12" r:id="rId2" xr:uid="{CBABC400-7277-CE49-A5B4-BC9525AFFA3E}"/>
    <hyperlink ref="G14" r:id="rId3" xr:uid="{A022BFC9-342F-4B41-9BE4-85FB678B4D62}"/>
    <hyperlink ref="G9" r:id="rId4" xr:uid="{50591B6B-5768-4D44-A1FC-EC71D7E504F6}"/>
  </hyperlinks>
  <pageMargins left="0.7" right="0.7" top="0.75" bottom="0.75" header="0.511811023622047" footer="0.511811023622047"/>
  <pageSetup paperSize="9" orientation="portrait" horizontalDpi="300" verticalDpi="300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Xfab DPRAM choices</vt:lpstr>
      <vt:lpstr>dimension varies by bit size</vt:lpstr>
      <vt:lpstr>FPGA_choices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Shouyu Xie</dc:creator>
  <dc:description/>
  <cp:lastModifiedBy>Shouyu Xie</cp:lastModifiedBy>
  <cp:revision>1</cp:revision>
  <dcterms:created xsi:type="dcterms:W3CDTF">2025-01-13T15:28:02Z</dcterms:created>
  <dcterms:modified xsi:type="dcterms:W3CDTF">2025-05-15T17:46:23Z</dcterms:modified>
  <dc:language>en-US</dc:language>
</cp:coreProperties>
</file>