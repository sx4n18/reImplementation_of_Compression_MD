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Xfab DPRAM choices" sheetId="1" state="visible" r:id="rId3"/>
    <sheet name="dimension varies by bit size" sheetId="2" state="visible" r:id="rId4"/>
    <sheet name="FPGA_choic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<sst xmlns="http://schemas.openxmlformats.org/spreadsheetml/2006/main" count="56" uniqueCount="48">
  <si>
    <t xml:space="preserve">Xfab dual port ram choices to buffer 2k lines of data</t>
  </si>
  <si>
    <t xml:space="preserve">...</t>
  </si>
  <si>
    <t xml:space="preserve">Assume each pixel has 2 bits of data:</t>
  </si>
  <si>
    <t xml:space="preserve">Which is in total 8Mb/1MB</t>
  </si>
  <si>
    <t xml:space="preserve">Words</t>
  </si>
  <si>
    <t xml:space="preserve">Bits</t>
  </si>
  <si>
    <t xml:space="preserve">Width (um)</t>
  </si>
  <si>
    <t xml:space="preserve">Heights (um)</t>
  </si>
  <si>
    <t xml:space="preserve">Area (mm2)</t>
  </si>
  <si>
    <t xml:space="preserve"># of blocks needed</t>
  </si>
  <si>
    <t xml:space="preserve">Area in total (mm2)</t>
  </si>
  <si>
    <t xml:space="preserve">Total one side width (mm)</t>
  </si>
  <si>
    <t xml:space="preserve">Heights (mm)</t>
  </si>
  <si>
    <t xml:space="preserve">One side area (mm2)</t>
  </si>
  <si>
    <t xml:space="preserve">Geometric area (mm2)</t>
  </si>
  <si>
    <t xml:space="preserve">Total one side height</t>
  </si>
  <si>
    <t xml:space="preserve">DPRAMLP size comparison</t>
  </si>
  <si>
    <t xml:space="preserve">FPGA choices for chip testing</t>
  </si>
  <si>
    <t xml:space="preserve">FPGA model</t>
  </si>
  <si>
    <t xml:space="preserve">FPGA chip</t>
  </si>
  <si>
    <t xml:space="preserve">Chip family</t>
  </si>
  <si>
    <t xml:space="preserve">General Pin #</t>
  </si>
  <si>
    <t xml:space="preserve">Price</t>
  </si>
  <si>
    <t xml:space="preserve">Ref Images</t>
  </si>
  <si>
    <t xml:space="preserve">Digilent Genesys ZU-3EG</t>
  </si>
  <si>
    <t xml:space="preserve">XCZU3EG-SFVC784-1-E</t>
  </si>
  <si>
    <t xml:space="preserve">Zynq Ultrascale+ MPSoC</t>
  </si>
  <si>
    <t xml:space="preserve">160-pin FMC LPC (less?)</t>
  </si>
  <si>
    <t xml:space="preserve">$1249</t>
  </si>
  <si>
    <t xml:space="preserve">Digilent Nexys Video</t>
  </si>
  <si>
    <t xml:space="preserve">XC7A200T-1SBG484C</t>
  </si>
  <si>
    <t xml:space="preserve">Artix-7</t>
  </si>
  <si>
    <t xml:space="preserve">$549</t>
  </si>
  <si>
    <t xml:space="preserve">Avnet UltraZed-EV SOM + Carrier Card</t>
  </si>
  <si>
    <t xml:space="preserve">XCZU7EV-1FBVB900E</t>
  </si>
  <si>
    <t xml:space="preserve">Zynq UltraScale+ EV</t>
  </si>
  <si>
    <t xml:space="preserve">152 user PL I/O pins</t>
  </si>
  <si>
    <t xml:space="preserve">N/A</t>
  </si>
  <si>
    <t xml:space="preserve">Opal Kelly XEM7310</t>
  </si>
  <si>
    <t xml:space="preserve">XC7A200T-1FBG484</t>
  </si>
  <si>
    <t xml:space="preserve">124 I/O samtec</t>
  </si>
  <si>
    <t xml:space="preserve">Opal Kelly ECM1900</t>
  </si>
  <si>
    <t xml:space="preserve">XCZU7EG-1FFVC1156E</t>
  </si>
  <si>
    <t xml:space="preserve">248 I/O samtec </t>
  </si>
  <si>
    <t xml:space="preserve">Opal Kelly XEM8305</t>
  </si>
  <si>
    <t xml:space="preserve">XCAU15P-2FFVB676E</t>
  </si>
  <si>
    <t xml:space="preserve">Artix UltraScale+ </t>
  </si>
  <si>
    <t xml:space="preserve">123 I/O samtec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</si>
</sst>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[$$-409]#,##0.00;[RED]\-[$$-409]#,##0.00"/>
  </numFmts>
  <fonts count="10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Aptos Narrow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Aptos Narrow"/>
      <family val="0"/>
    </font>
    <font>
      <sz val="12"/>
      <color rgb="FF006100"/>
      <name val="Aptos Narrow"/>
      <family val="2"/>
      <charset val="1"/>
    </font>
    <font>
      <sz val="12"/>
      <color rgb="FFFA7D00"/>
      <name val="Aptos Narrow"/>
      <family val="2"/>
      <charset val="1"/>
    </font>
    <font>
      <sz val="12"/>
      <color theme="1"/>
      <name val="Aptos Narro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1E5F5"/>
      </patternFill>
    </fill>
    <fill>
      <patternFill patternType="solid">
        <fgColor theme="4" tint="0.7999"/>
        <bgColor rgb="FFC6EFCE"/>
      </patternFill>
    </fill>
    <fill>
      <patternFill patternType="solid">
        <fgColor theme="9" tint="0.5999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1" applyFont="true" applyBorder="tru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Linked Cell" xfId="21"/>
    <cellStyle name="Excel Built-in 20% - Accent1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4E5A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1"/>
      <rgbColor rgb="FFFA7D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40320</xdr:colOff>
      <xdr:row>6</xdr:row>
      <xdr:rowOff>40320</xdr:rowOff>
    </xdr:from>
    <xdr:to>
      <xdr:col>1</xdr:col>
      <xdr:colOff>161280</xdr:colOff>
      <xdr:row>6</xdr:row>
      <xdr:rowOff>161280</xdr:rowOff>
    </xdr:to>
    <xdr:sp>
      <xdr:nvSpPr>
        <xdr:cNvPr id="0" name="Rectangle 2"/>
        <xdr:cNvSpPr/>
      </xdr:nvSpPr>
      <xdr:spPr>
        <a:xfrm>
          <a:off x="1109160" y="124056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256320</xdr:colOff>
      <xdr:row>6</xdr:row>
      <xdr:rowOff>42840</xdr:rowOff>
    </xdr:from>
    <xdr:to>
      <xdr:col>1</xdr:col>
      <xdr:colOff>377280</xdr:colOff>
      <xdr:row>6</xdr:row>
      <xdr:rowOff>163800</xdr:rowOff>
    </xdr:to>
    <xdr:sp>
      <xdr:nvSpPr>
        <xdr:cNvPr id="1" name="Rectangle 3"/>
        <xdr:cNvSpPr/>
      </xdr:nvSpPr>
      <xdr:spPr>
        <a:xfrm>
          <a:off x="1325160" y="124308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472320</xdr:colOff>
      <xdr:row>6</xdr:row>
      <xdr:rowOff>45000</xdr:rowOff>
    </xdr:from>
    <xdr:to>
      <xdr:col>1</xdr:col>
      <xdr:colOff>593280</xdr:colOff>
      <xdr:row>6</xdr:row>
      <xdr:rowOff>165960</xdr:rowOff>
    </xdr:to>
    <xdr:sp>
      <xdr:nvSpPr>
        <xdr:cNvPr id="2" name="Rectangle 4"/>
        <xdr:cNvSpPr/>
      </xdr:nvSpPr>
      <xdr:spPr>
        <a:xfrm>
          <a:off x="1541160" y="124524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676440</xdr:colOff>
      <xdr:row>6</xdr:row>
      <xdr:rowOff>41400</xdr:rowOff>
    </xdr:from>
    <xdr:to>
      <xdr:col>1</xdr:col>
      <xdr:colOff>797400</xdr:colOff>
      <xdr:row>6</xdr:row>
      <xdr:rowOff>162360</xdr:rowOff>
    </xdr:to>
    <xdr:sp>
      <xdr:nvSpPr>
        <xdr:cNvPr id="3" name="Rectangle 5"/>
        <xdr:cNvSpPr/>
      </xdr:nvSpPr>
      <xdr:spPr>
        <a:xfrm>
          <a:off x="1745280" y="124164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</xdr:col>
      <xdr:colOff>42840</xdr:colOff>
      <xdr:row>6</xdr:row>
      <xdr:rowOff>42840</xdr:rowOff>
    </xdr:from>
    <xdr:to>
      <xdr:col>2</xdr:col>
      <xdr:colOff>163800</xdr:colOff>
      <xdr:row>6</xdr:row>
      <xdr:rowOff>163800</xdr:rowOff>
    </xdr:to>
    <xdr:sp>
      <xdr:nvSpPr>
        <xdr:cNvPr id="4" name="Rectangle 6"/>
        <xdr:cNvSpPr/>
      </xdr:nvSpPr>
      <xdr:spPr>
        <a:xfrm>
          <a:off x="2180160" y="124308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</xdr:col>
      <xdr:colOff>258480</xdr:colOff>
      <xdr:row>6</xdr:row>
      <xdr:rowOff>45000</xdr:rowOff>
    </xdr:from>
    <xdr:to>
      <xdr:col>2</xdr:col>
      <xdr:colOff>379440</xdr:colOff>
      <xdr:row>6</xdr:row>
      <xdr:rowOff>165960</xdr:rowOff>
    </xdr:to>
    <xdr:sp>
      <xdr:nvSpPr>
        <xdr:cNvPr id="5" name="Rectangle 7"/>
        <xdr:cNvSpPr/>
      </xdr:nvSpPr>
      <xdr:spPr>
        <a:xfrm>
          <a:off x="2395800" y="124524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</xdr:col>
      <xdr:colOff>474480</xdr:colOff>
      <xdr:row>6</xdr:row>
      <xdr:rowOff>47160</xdr:rowOff>
    </xdr:from>
    <xdr:to>
      <xdr:col>2</xdr:col>
      <xdr:colOff>595440</xdr:colOff>
      <xdr:row>6</xdr:row>
      <xdr:rowOff>168120</xdr:rowOff>
    </xdr:to>
    <xdr:sp>
      <xdr:nvSpPr>
        <xdr:cNvPr id="6" name="Rectangle 8"/>
        <xdr:cNvSpPr/>
      </xdr:nvSpPr>
      <xdr:spPr>
        <a:xfrm>
          <a:off x="2611800" y="124740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</xdr:col>
      <xdr:colOff>678960</xdr:colOff>
      <xdr:row>6</xdr:row>
      <xdr:rowOff>43920</xdr:rowOff>
    </xdr:from>
    <xdr:to>
      <xdr:col>2</xdr:col>
      <xdr:colOff>799920</xdr:colOff>
      <xdr:row>6</xdr:row>
      <xdr:rowOff>164880</xdr:rowOff>
    </xdr:to>
    <xdr:sp>
      <xdr:nvSpPr>
        <xdr:cNvPr id="7" name="Rectangle 9"/>
        <xdr:cNvSpPr/>
      </xdr:nvSpPr>
      <xdr:spPr>
        <a:xfrm>
          <a:off x="2816280" y="124416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45000</xdr:colOff>
      <xdr:row>6</xdr:row>
      <xdr:rowOff>50760</xdr:rowOff>
    </xdr:from>
    <xdr:to>
      <xdr:col>3</xdr:col>
      <xdr:colOff>165960</xdr:colOff>
      <xdr:row>6</xdr:row>
      <xdr:rowOff>171720</xdr:rowOff>
    </xdr:to>
    <xdr:sp>
      <xdr:nvSpPr>
        <xdr:cNvPr id="8" name="Rectangle 10"/>
        <xdr:cNvSpPr/>
      </xdr:nvSpPr>
      <xdr:spPr>
        <a:xfrm>
          <a:off x="3251160" y="125100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261000</xdr:colOff>
      <xdr:row>6</xdr:row>
      <xdr:rowOff>53280</xdr:rowOff>
    </xdr:from>
    <xdr:to>
      <xdr:col>3</xdr:col>
      <xdr:colOff>381960</xdr:colOff>
      <xdr:row>6</xdr:row>
      <xdr:rowOff>174240</xdr:rowOff>
    </xdr:to>
    <xdr:sp>
      <xdr:nvSpPr>
        <xdr:cNvPr id="9" name="Rectangle 11"/>
        <xdr:cNvSpPr/>
      </xdr:nvSpPr>
      <xdr:spPr>
        <a:xfrm>
          <a:off x="3467160" y="125352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477000</xdr:colOff>
      <xdr:row>6</xdr:row>
      <xdr:rowOff>55440</xdr:rowOff>
    </xdr:from>
    <xdr:to>
      <xdr:col>3</xdr:col>
      <xdr:colOff>597960</xdr:colOff>
      <xdr:row>6</xdr:row>
      <xdr:rowOff>176400</xdr:rowOff>
    </xdr:to>
    <xdr:sp>
      <xdr:nvSpPr>
        <xdr:cNvPr id="10" name="Rectangle 12"/>
        <xdr:cNvSpPr/>
      </xdr:nvSpPr>
      <xdr:spPr>
        <a:xfrm>
          <a:off x="3683160" y="125568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681120</xdr:colOff>
      <xdr:row>6</xdr:row>
      <xdr:rowOff>51840</xdr:rowOff>
    </xdr:from>
    <xdr:to>
      <xdr:col>3</xdr:col>
      <xdr:colOff>802080</xdr:colOff>
      <xdr:row>6</xdr:row>
      <xdr:rowOff>172800</xdr:rowOff>
    </xdr:to>
    <xdr:sp>
      <xdr:nvSpPr>
        <xdr:cNvPr id="11" name="Rectangle 13"/>
        <xdr:cNvSpPr/>
      </xdr:nvSpPr>
      <xdr:spPr>
        <a:xfrm>
          <a:off x="3887280" y="1252080"/>
          <a:ext cx="120960" cy="1209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249120</xdr:colOff>
      <xdr:row>7</xdr:row>
      <xdr:rowOff>50760</xdr:rowOff>
    </xdr:from>
    <xdr:to>
      <xdr:col>1</xdr:col>
      <xdr:colOff>547920</xdr:colOff>
      <xdr:row>11</xdr:row>
      <xdr:rowOff>9360</xdr:rowOff>
    </xdr:to>
    <xdr:sp>
      <xdr:nvSpPr>
        <xdr:cNvPr id="12" name="Rounded Rectangle 14"/>
        <xdr:cNvSpPr/>
      </xdr:nvSpPr>
      <xdr:spPr>
        <a:xfrm rot="5400000">
          <a:off x="1087920" y="1701000"/>
          <a:ext cx="758520" cy="29880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GB" sz="1100" spc="-1" strike="noStrike">
              <a:solidFill>
                <a:srgbClr val="000000"/>
              </a:solidFill>
              <a:latin typeface="Aptos Narrow"/>
            </a:rPr>
            <a:t>RAM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</xdr:col>
      <xdr:colOff>280440</xdr:colOff>
      <xdr:row>7</xdr:row>
      <xdr:rowOff>47520</xdr:rowOff>
    </xdr:from>
    <xdr:to>
      <xdr:col>2</xdr:col>
      <xdr:colOff>579240</xdr:colOff>
      <xdr:row>11</xdr:row>
      <xdr:rowOff>6120</xdr:rowOff>
    </xdr:to>
    <xdr:sp>
      <xdr:nvSpPr>
        <xdr:cNvPr id="13" name="Rounded Rectangle 15"/>
        <xdr:cNvSpPr/>
      </xdr:nvSpPr>
      <xdr:spPr>
        <a:xfrm rot="5400000">
          <a:off x="2187720" y="1697760"/>
          <a:ext cx="758520" cy="29880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GB" sz="1100" spc="-1" strike="noStrike">
              <a:solidFill>
                <a:srgbClr val="000000"/>
              </a:solidFill>
              <a:latin typeface="Aptos Narrow"/>
            </a:rPr>
            <a:t>RAM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27720</xdr:colOff>
      <xdr:row>8</xdr:row>
      <xdr:rowOff>74520</xdr:rowOff>
    </xdr:from>
    <xdr:to>
      <xdr:col>3</xdr:col>
      <xdr:colOff>789480</xdr:colOff>
      <xdr:row>9</xdr:row>
      <xdr:rowOff>172080</xdr:rowOff>
    </xdr:to>
    <xdr:sp>
      <xdr:nvSpPr>
        <xdr:cNvPr id="14" name="Rounded Rectangle 16"/>
        <xdr:cNvSpPr/>
      </xdr:nvSpPr>
      <xdr:spPr>
        <a:xfrm>
          <a:off x="3233880" y="1694880"/>
          <a:ext cx="761760" cy="29772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GB" sz="1100" spc="-1" strike="noStrike">
              <a:solidFill>
                <a:srgbClr val="000000"/>
              </a:solidFill>
              <a:latin typeface="Aptos Narrow"/>
            </a:rPr>
            <a:t>RAM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41400</xdr:colOff>
      <xdr:row>3</xdr:row>
      <xdr:rowOff>41400</xdr:rowOff>
    </xdr:from>
    <xdr:to>
      <xdr:col>1</xdr:col>
      <xdr:colOff>803160</xdr:colOff>
      <xdr:row>4</xdr:row>
      <xdr:rowOff>139320</xdr:rowOff>
    </xdr:to>
    <xdr:sp>
      <xdr:nvSpPr>
        <xdr:cNvPr id="15" name="Rounded Rectangle 17"/>
        <xdr:cNvSpPr/>
      </xdr:nvSpPr>
      <xdr:spPr>
        <a:xfrm>
          <a:off x="1110240" y="641520"/>
          <a:ext cx="761760" cy="29808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GB" sz="1100" spc="-1" strike="noStrike">
              <a:solidFill>
                <a:srgbClr val="000000"/>
              </a:solidFill>
              <a:latin typeface="Aptos Narrow"/>
            </a:rPr>
            <a:t>RAM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</xdr:col>
      <xdr:colOff>20880</xdr:colOff>
      <xdr:row>3</xdr:row>
      <xdr:rowOff>38160</xdr:rowOff>
    </xdr:from>
    <xdr:to>
      <xdr:col>2</xdr:col>
      <xdr:colOff>782640</xdr:colOff>
      <xdr:row>4</xdr:row>
      <xdr:rowOff>136080</xdr:rowOff>
    </xdr:to>
    <xdr:sp>
      <xdr:nvSpPr>
        <xdr:cNvPr id="16" name="Rounded Rectangle 18"/>
        <xdr:cNvSpPr/>
      </xdr:nvSpPr>
      <xdr:spPr>
        <a:xfrm>
          <a:off x="2158200" y="638280"/>
          <a:ext cx="761760" cy="29808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GB" sz="1100" spc="-1" strike="noStrike">
              <a:solidFill>
                <a:srgbClr val="000000"/>
              </a:solidFill>
              <a:latin typeface="Aptos Narrow"/>
            </a:rPr>
            <a:t>RAM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28800</xdr:colOff>
      <xdr:row>3</xdr:row>
      <xdr:rowOff>28800</xdr:rowOff>
    </xdr:from>
    <xdr:to>
      <xdr:col>3</xdr:col>
      <xdr:colOff>790560</xdr:colOff>
      <xdr:row>4</xdr:row>
      <xdr:rowOff>126720</xdr:rowOff>
    </xdr:to>
    <xdr:sp>
      <xdr:nvSpPr>
        <xdr:cNvPr id="17" name="Rounded Rectangle 19"/>
        <xdr:cNvSpPr/>
      </xdr:nvSpPr>
      <xdr:spPr>
        <a:xfrm>
          <a:off x="3234960" y="628920"/>
          <a:ext cx="761760" cy="298080"/>
        </a:xfrm>
        <a:prstGeom prst="roundRect">
          <a:avLst>
            <a:gd name="adj" fmla="val 16667"/>
          </a:avLst>
        </a:prstGeom>
        <a:solidFill>
          <a:srgbClr val="f6c6ad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GB" sz="1100" spc="-1" strike="noStrike">
              <a:solidFill>
                <a:srgbClr val="000000"/>
              </a:solidFill>
              <a:latin typeface="Aptos Narrow"/>
            </a:rPr>
            <a:t>RAM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11</xdr:row>
      <xdr:rowOff>0</xdr:rowOff>
    </xdr:from>
    <xdr:to>
      <xdr:col>5</xdr:col>
      <xdr:colOff>1390680</xdr:colOff>
      <xdr:row>11</xdr:row>
      <xdr:rowOff>955080</xdr:rowOff>
    </xdr:to>
    <xdr:pic>
      <xdr:nvPicPr>
        <xdr:cNvPr id="18" name="Image 1" descr=""/>
        <xdr:cNvPicPr/>
      </xdr:nvPicPr>
      <xdr:blipFill>
        <a:blip r:embed="rId1"/>
        <a:stretch/>
      </xdr:blipFill>
      <xdr:spPr>
        <a:xfrm>
          <a:off x="9164160" y="3739680"/>
          <a:ext cx="1390680" cy="955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12</xdr:row>
      <xdr:rowOff>0</xdr:rowOff>
    </xdr:from>
    <xdr:to>
      <xdr:col>5</xdr:col>
      <xdr:colOff>1381320</xdr:colOff>
      <xdr:row>12</xdr:row>
      <xdr:rowOff>948960</xdr:rowOff>
    </xdr:to>
    <xdr:pic>
      <xdr:nvPicPr>
        <xdr:cNvPr id="19" name="Image 2" descr=""/>
        <xdr:cNvPicPr/>
      </xdr:nvPicPr>
      <xdr:blipFill>
        <a:blip r:embed="rId2"/>
        <a:stretch/>
      </xdr:blipFill>
      <xdr:spPr>
        <a:xfrm>
          <a:off x="9164160" y="4743360"/>
          <a:ext cx="1381320" cy="94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13</xdr:row>
      <xdr:rowOff>0</xdr:rowOff>
    </xdr:from>
    <xdr:to>
      <xdr:col>6</xdr:col>
      <xdr:colOff>360</xdr:colOff>
      <xdr:row>13</xdr:row>
      <xdr:rowOff>961200</xdr:rowOff>
    </xdr:to>
    <xdr:pic>
      <xdr:nvPicPr>
        <xdr:cNvPr id="20" name="Image 3" descr=""/>
        <xdr:cNvPicPr/>
      </xdr:nvPicPr>
      <xdr:blipFill>
        <a:blip r:embed="rId3"/>
        <a:stretch/>
      </xdr:blipFill>
      <xdr:spPr>
        <a:xfrm>
          <a:off x="9164160" y="5727240"/>
          <a:ext cx="1398960" cy="96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1385640</xdr:colOff>
      <xdr:row>8</xdr:row>
      <xdr:rowOff>951840</xdr:rowOff>
    </xdr:to>
    <xdr:pic>
      <xdr:nvPicPr>
        <xdr:cNvPr id="21" name="Image 4" descr=""/>
        <xdr:cNvPicPr/>
      </xdr:nvPicPr>
      <xdr:blipFill>
        <a:blip r:embed="rId4"/>
        <a:stretch/>
      </xdr:blipFill>
      <xdr:spPr>
        <a:xfrm>
          <a:off x="9164160" y="1600200"/>
          <a:ext cx="1385640" cy="95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1392480</xdr:colOff>
      <xdr:row>9</xdr:row>
      <xdr:rowOff>956520</xdr:rowOff>
    </xdr:to>
    <xdr:pic>
      <xdr:nvPicPr>
        <xdr:cNvPr id="22" name="Image 5" descr=""/>
        <xdr:cNvPicPr/>
      </xdr:nvPicPr>
      <xdr:blipFill>
        <a:blip r:embed="rId5"/>
        <a:stretch/>
      </xdr:blipFill>
      <xdr:spPr>
        <a:xfrm>
          <a:off x="9164160" y="2566800"/>
          <a:ext cx="1392480" cy="956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28"/>
  <sheetViews>
    <sheetView showFormulas="false" showGridLines="true" showRowColHeaders="true" showZeros="true" rightToLeft="false" tabSelected="false" showOutlineSymbols="true" defaultGridColor="true" view="normal" topLeftCell="A1" colorId="64" zoomScale="181" zoomScaleNormal="181" zoomScalePageLayoutView="100" workbookViewId="0">
      <selection pane="topLeft" activeCell="A16" activeCellId="0" sqref="A16"/>
    </sheetView>
  </sheetViews>
  <sheetFormatPr defaultColWidth="11" defaultRowHeight="15.75" zeroHeight="false" outlineLevelRow="0" outlineLevelCol="0"/>
  <cols>
    <col collapsed="false" customWidth="true" hidden="false" outlineLevel="0" max="6" min="6" style="0" width="10.83"/>
    <col collapsed="false" customWidth="true" hidden="false" outlineLevel="0" max="7" min="7" style="0" width="13.33"/>
    <col collapsed="false" customWidth="true" hidden="false" outlineLevel="0" max="8" min="8" style="0" width="19.16"/>
    <col collapsed="false" customWidth="true" hidden="false" outlineLevel="0" max="9" min="9" style="0" width="12"/>
    <col collapsed="false" customWidth="true" hidden="true" outlineLevel="0" max="11" min="10" style="0" width="8.37"/>
  </cols>
  <sheetData>
    <row r="2" customFormat="false" ht="15.75" hidden="false" customHeight="false" outlineLevel="0" collapsed="false">
      <c r="B2" s="1" t="s">
        <v>0</v>
      </c>
      <c r="C2" s="1"/>
      <c r="D2" s="1"/>
      <c r="E2" s="1"/>
      <c r="F2" s="1"/>
      <c r="G2" s="1"/>
    </row>
    <row r="3" customFormat="false" ht="15.75" hidden="false" customHeight="false" outlineLevel="0" collapsed="false">
      <c r="B3" s="2"/>
      <c r="C3" s="2"/>
      <c r="D3" s="2"/>
      <c r="E3" s="2"/>
      <c r="F3" s="2"/>
      <c r="G3" s="2"/>
    </row>
    <row r="4" customFormat="false" ht="15.75" hidden="false" customHeight="false" outlineLevel="0" collapsed="false">
      <c r="B4" s="2"/>
      <c r="C4" s="2"/>
      <c r="D4" s="2"/>
      <c r="E4" s="2"/>
      <c r="F4" s="2"/>
      <c r="G4" s="2"/>
    </row>
    <row r="5" customFormat="false" ht="15.75" hidden="false" customHeight="false" outlineLevel="0" collapsed="false">
      <c r="B5" s="2"/>
      <c r="C5" s="2"/>
      <c r="D5" s="2"/>
      <c r="E5" s="2"/>
      <c r="F5" s="2"/>
      <c r="G5" s="2"/>
    </row>
    <row r="6" customFormat="false" ht="15.75" hidden="false" customHeight="false" outlineLevel="0" collapsed="false">
      <c r="B6" s="2"/>
      <c r="C6" s="2"/>
      <c r="D6" s="2"/>
      <c r="E6" s="2"/>
      <c r="F6" s="2"/>
      <c r="G6" s="2"/>
    </row>
    <row r="7" customFormat="false" ht="17.35" hidden="false" customHeight="false" outlineLevel="0" collapsed="false">
      <c r="B7" s="2"/>
      <c r="C7" s="2"/>
      <c r="D7" s="2"/>
      <c r="E7" s="3" t="s">
        <v>1</v>
      </c>
      <c r="F7" s="2"/>
      <c r="G7" s="2"/>
    </row>
    <row r="8" customFormat="false" ht="15.75" hidden="false" customHeight="false" outlineLevel="0" collapsed="false">
      <c r="B8" s="2"/>
      <c r="C8" s="2"/>
      <c r="D8" s="2"/>
      <c r="E8" s="2"/>
      <c r="F8" s="2"/>
      <c r="G8" s="2"/>
    </row>
    <row r="9" customFormat="false" ht="15.75" hidden="false" customHeight="false" outlineLevel="0" collapsed="false">
      <c r="B9" s="2"/>
      <c r="C9" s="2"/>
      <c r="D9" s="2"/>
      <c r="E9" s="2"/>
      <c r="F9" s="2"/>
      <c r="G9" s="2"/>
    </row>
    <row r="10" customFormat="false" ht="15.75" hidden="false" customHeight="false" outlineLevel="0" collapsed="false">
      <c r="B10" s="2"/>
      <c r="C10" s="2"/>
      <c r="D10" s="2"/>
      <c r="E10" s="2"/>
      <c r="F10" s="2"/>
      <c r="G10" s="2"/>
    </row>
    <row r="11" customFormat="false" ht="15.75" hidden="false" customHeight="false" outlineLevel="0" collapsed="false">
      <c r="B11" s="2"/>
      <c r="C11" s="2"/>
      <c r="D11" s="2"/>
      <c r="E11" s="2"/>
      <c r="F11" s="2"/>
      <c r="G11" s="2"/>
    </row>
    <row r="13" customFormat="false" ht="15.75" hidden="false" customHeight="false" outlineLevel="0" collapsed="false">
      <c r="A13" s="0" t="s">
        <v>2</v>
      </c>
    </row>
    <row r="14" customFormat="false" ht="15.75" hidden="false" customHeight="false" outlineLevel="0" collapsed="false">
      <c r="A14" s="1" t="s">
        <v>3</v>
      </c>
      <c r="B14" s="1"/>
      <c r="C14" s="1"/>
      <c r="D14" s="1"/>
      <c r="E14" s="1"/>
      <c r="F14" s="1"/>
    </row>
    <row r="16" customFormat="false" ht="15.75" hidden="false" customHeight="false" outlineLevel="0" collapsed="false">
      <c r="A16" s="0" t="s">
        <v>4</v>
      </c>
      <c r="B16" s="0" t="s">
        <v>5</v>
      </c>
      <c r="C16" s="0" t="s">
        <v>6</v>
      </c>
      <c r="D16" s="0" t="s">
        <v>7</v>
      </c>
      <c r="E16" s="0" t="s">
        <v>8</v>
      </c>
      <c r="F16" s="0" t="s">
        <v>9</v>
      </c>
      <c r="G16" s="0" t="s">
        <v>10</v>
      </c>
      <c r="H16" s="0" t="s">
        <v>11</v>
      </c>
      <c r="I16" s="0" t="s">
        <v>12</v>
      </c>
      <c r="J16" s="0" t="s">
        <v>13</v>
      </c>
      <c r="K16" s="0" t="s">
        <v>14</v>
      </c>
      <c r="L16" s="0" t="s">
        <v>15</v>
      </c>
    </row>
    <row r="17" customFormat="false" ht="15.75" hidden="false" customHeight="false" outlineLevel="0" collapsed="false">
      <c r="A17" s="4" t="n">
        <v>2048</v>
      </c>
      <c r="B17" s="4" t="n">
        <v>8</v>
      </c>
      <c r="C17" s="0" t="n">
        <v>347.5</v>
      </c>
      <c r="D17" s="0" t="n">
        <v>822.1</v>
      </c>
      <c r="E17" s="0" t="n">
        <v>0.285</v>
      </c>
      <c r="F17" s="4" t="n">
        <v>512</v>
      </c>
      <c r="G17" s="5" t="n">
        <f aca="false">E17*F17</f>
        <v>145.92</v>
      </c>
      <c r="H17" s="5" t="n">
        <f aca="false">C17*F17/2000</f>
        <v>88.96</v>
      </c>
      <c r="I17" s="5" t="n">
        <f aca="false">D17/1000</f>
        <v>0.8221</v>
      </c>
      <c r="J17" s="5" t="n">
        <f aca="false">H17*I17</f>
        <v>73.134016</v>
      </c>
      <c r="K17" s="5" t="n">
        <f aca="false">J17*2</f>
        <v>146.268032</v>
      </c>
      <c r="L17" s="5" t="n">
        <f aca="false">D17*F17/2000</f>
        <v>210.4576</v>
      </c>
    </row>
    <row r="18" customFormat="false" ht="15.75" hidden="false" customHeight="false" outlineLevel="0" collapsed="false">
      <c r="A18" s="4"/>
      <c r="B18" s="4"/>
      <c r="C18" s="0" t="n">
        <v>564.7</v>
      </c>
      <c r="D18" s="0" t="n">
        <v>462.5</v>
      </c>
      <c r="E18" s="0" t="n">
        <v>0.26</v>
      </c>
      <c r="F18" s="4"/>
      <c r="G18" s="5" t="n">
        <f aca="false">E18*F17</f>
        <v>133.12</v>
      </c>
      <c r="H18" s="5" t="n">
        <f aca="false">C18*F17/2000</f>
        <v>144.5632</v>
      </c>
      <c r="I18" s="5" t="n">
        <f aca="false">D18/1000</f>
        <v>0.4625</v>
      </c>
      <c r="J18" s="5" t="n">
        <f aca="false">H18*I18</f>
        <v>66.86048</v>
      </c>
      <c r="K18" s="5" t="n">
        <f aca="false">J18*2</f>
        <v>133.72096</v>
      </c>
      <c r="L18" s="5" t="n">
        <f aca="false">D18*F17/2000</f>
        <v>118.4</v>
      </c>
    </row>
    <row r="19" customFormat="false" ht="15.75" hidden="false" customHeight="false" outlineLevel="0" collapsed="false">
      <c r="A19" s="4"/>
      <c r="B19" s="4"/>
      <c r="C19" s="0" t="n">
        <v>999.3</v>
      </c>
      <c r="D19" s="0" t="n">
        <v>284.5</v>
      </c>
      <c r="E19" s="0" t="n">
        <v>0.281</v>
      </c>
      <c r="F19" s="4"/>
      <c r="G19" s="5" t="n">
        <f aca="false">E19*F17</f>
        <v>143.872</v>
      </c>
      <c r="H19" s="5" t="n">
        <f aca="false">C19*F17/2000</f>
        <v>255.8208</v>
      </c>
      <c r="I19" s="5" t="n">
        <f aca="false">D19/1000</f>
        <v>0.2845</v>
      </c>
      <c r="J19" s="5" t="n">
        <f aca="false">H19*I19</f>
        <v>72.7810176</v>
      </c>
      <c r="K19" s="5" t="n">
        <f aca="false">J19*2</f>
        <v>145.5620352</v>
      </c>
      <c r="L19" s="5" t="n">
        <f aca="false">D19*F17/2000</f>
        <v>72.832</v>
      </c>
    </row>
    <row r="20" customFormat="false" ht="15.75" hidden="false" customHeight="false" outlineLevel="0" collapsed="false">
      <c r="A20" s="4" t="n">
        <v>2048</v>
      </c>
      <c r="B20" s="4" t="n">
        <v>16</v>
      </c>
      <c r="C20" s="6" t="n">
        <v>567.3</v>
      </c>
      <c r="D20" s="6" t="n">
        <v>831.1</v>
      </c>
      <c r="E20" s="0" t="n">
        <v>0.468</v>
      </c>
      <c r="F20" s="4" t="n">
        <v>256</v>
      </c>
      <c r="G20" s="5" t="n">
        <f aca="false">E20*F20</f>
        <v>119.808</v>
      </c>
      <c r="H20" s="5" t="n">
        <f aca="false">C20*F20/2000</f>
        <v>72.6144</v>
      </c>
      <c r="I20" s="5" t="n">
        <f aca="false">D20/1000</f>
        <v>0.8311</v>
      </c>
      <c r="J20" s="5" t="n">
        <f aca="false">H20*I20</f>
        <v>60.34982784</v>
      </c>
      <c r="K20" s="5" t="n">
        <f aca="false">J20*2</f>
        <v>120.69965568</v>
      </c>
      <c r="L20" s="5" t="n">
        <f aca="false">D20*F20/2000</f>
        <v>106.3808</v>
      </c>
    </row>
    <row r="21" customFormat="false" ht="15.75" hidden="false" customHeight="false" outlineLevel="0" collapsed="false">
      <c r="A21" s="4"/>
      <c r="B21" s="4"/>
      <c r="C21" s="6" t="n">
        <v>1004.3</v>
      </c>
      <c r="D21" s="0" t="n">
        <v>471.4</v>
      </c>
      <c r="E21" s="6" t="n">
        <v>0.467</v>
      </c>
      <c r="F21" s="4"/>
      <c r="G21" s="5" t="n">
        <f aca="false">E21*F20</f>
        <v>119.552</v>
      </c>
      <c r="H21" s="5" t="n">
        <f aca="false">C21*F20/2000</f>
        <v>128.5504</v>
      </c>
      <c r="I21" s="5" t="n">
        <f aca="false">D21/1000</f>
        <v>0.4714</v>
      </c>
      <c r="J21" s="5" t="n">
        <f aca="false">H21*I21</f>
        <v>60.59865856</v>
      </c>
      <c r="K21" s="5" t="n">
        <f aca="false">J21*2</f>
        <v>121.19731712</v>
      </c>
      <c r="L21" s="5" t="n">
        <f aca="false">D21*F20/2000</f>
        <v>60.3392</v>
      </c>
    </row>
    <row r="22" customFormat="false" ht="15.75" hidden="false" customHeight="false" outlineLevel="0" collapsed="false">
      <c r="A22" s="4"/>
      <c r="B22" s="4"/>
      <c r="C22" s="6" t="n">
        <v>1878.7</v>
      </c>
      <c r="D22" s="6" t="n">
        <v>293.5</v>
      </c>
      <c r="E22" s="6" t="n">
        <v>0.538</v>
      </c>
      <c r="F22" s="4"/>
      <c r="G22" s="5" t="n">
        <f aca="false">E22*F20</f>
        <v>137.728</v>
      </c>
      <c r="H22" s="5" t="n">
        <f aca="false">C22*F20/2000</f>
        <v>240.4736</v>
      </c>
      <c r="I22" s="5" t="n">
        <f aca="false">D22/1000</f>
        <v>0.2935</v>
      </c>
      <c r="J22" s="5" t="n">
        <f aca="false">H22*I22</f>
        <v>70.5790016</v>
      </c>
      <c r="K22" s="5" t="n">
        <f aca="false">J22*2</f>
        <v>141.1580032</v>
      </c>
      <c r="L22" s="5" t="n">
        <f aca="false">D22*F20/2000</f>
        <v>37.568</v>
      </c>
    </row>
    <row r="23" customFormat="false" ht="15.75" hidden="false" customHeight="false" outlineLevel="0" collapsed="false">
      <c r="A23" s="4" t="n">
        <v>2048</v>
      </c>
      <c r="B23" s="4" t="n">
        <v>32</v>
      </c>
      <c r="C23" s="6" t="n">
        <v>1007</v>
      </c>
      <c r="D23" s="6" t="n">
        <v>849</v>
      </c>
      <c r="E23" s="6" t="n">
        <v>0.84</v>
      </c>
      <c r="F23" s="7" t="n">
        <v>128</v>
      </c>
      <c r="G23" s="5" t="n">
        <f aca="false">E23*F23</f>
        <v>107.52</v>
      </c>
      <c r="H23" s="5" t="n">
        <f aca="false">C23*F23/2000</f>
        <v>64.448</v>
      </c>
      <c r="I23" s="5" t="n">
        <f aca="false">D23/1000</f>
        <v>0.849</v>
      </c>
      <c r="J23" s="5" t="n">
        <f aca="false">H23*I23</f>
        <v>54.716352</v>
      </c>
      <c r="K23" s="5" t="n">
        <f aca="false">J23*2</f>
        <v>109.432704</v>
      </c>
      <c r="L23" s="5" t="n">
        <f aca="false">D23*F23/2000</f>
        <v>54.336</v>
      </c>
    </row>
    <row r="24" customFormat="false" ht="15.75" hidden="false" customHeight="false" outlineLevel="0" collapsed="false">
      <c r="A24" s="4"/>
      <c r="B24" s="4"/>
      <c r="C24" s="6" t="n">
        <v>1883.7</v>
      </c>
      <c r="D24" s="6" t="n">
        <v>489.4</v>
      </c>
      <c r="E24" s="6" t="n">
        <v>0.892</v>
      </c>
      <c r="F24" s="7"/>
      <c r="G24" s="5" t="n">
        <f aca="false">E24*F23</f>
        <v>114.176</v>
      </c>
      <c r="H24" s="5" t="n">
        <f aca="false">C24*F23/2000</f>
        <v>120.5568</v>
      </c>
      <c r="I24" s="5" t="n">
        <f aca="false">D24/1000</f>
        <v>0.4894</v>
      </c>
      <c r="J24" s="5" t="n">
        <f aca="false">H24*I24</f>
        <v>59.00049792</v>
      </c>
      <c r="K24" s="5" t="n">
        <f aca="false">J24*2</f>
        <v>118.00099584</v>
      </c>
      <c r="L24" s="5" t="n">
        <f aca="false">D24*F23/2000</f>
        <v>31.3216</v>
      </c>
    </row>
    <row r="25" customFormat="false" ht="15.75" hidden="false" customHeight="false" outlineLevel="0" collapsed="false">
      <c r="A25" s="4"/>
      <c r="B25" s="4"/>
      <c r="C25" s="6" t="n">
        <v>3637.4</v>
      </c>
      <c r="D25" s="6" t="n">
        <v>311.4</v>
      </c>
      <c r="E25" s="6" t="n">
        <v>1.074</v>
      </c>
      <c r="F25" s="7"/>
      <c r="G25" s="5" t="n">
        <f aca="false">E25*F23</f>
        <v>137.472</v>
      </c>
      <c r="H25" s="5" t="n">
        <f aca="false">C25*F23/2000</f>
        <v>232.7936</v>
      </c>
      <c r="I25" s="5" t="n">
        <f aca="false">D25/1000</f>
        <v>0.3114</v>
      </c>
      <c r="J25" s="5" t="n">
        <f aca="false">H25*I25</f>
        <v>72.49192704</v>
      </c>
      <c r="K25" s="5" t="n">
        <f aca="false">J25*2</f>
        <v>144.98385408</v>
      </c>
      <c r="L25" s="5" t="n">
        <f aca="false">D25*F23/2000</f>
        <v>19.9296</v>
      </c>
    </row>
    <row r="26" customFormat="false" ht="15.75" hidden="false" customHeight="false" outlineLevel="0" collapsed="false">
      <c r="A26" s="4" t="n">
        <v>2048</v>
      </c>
      <c r="B26" s="4" t="n">
        <v>64</v>
      </c>
      <c r="C26" s="6" t="n">
        <v>1886.4</v>
      </c>
      <c r="D26" s="6" t="n">
        <v>884.9</v>
      </c>
      <c r="E26" s="6" t="n">
        <v>1.608</v>
      </c>
      <c r="F26" s="7" t="n">
        <v>64</v>
      </c>
      <c r="G26" s="5" t="n">
        <f aca="false">E26*F26</f>
        <v>102.912</v>
      </c>
      <c r="H26" s="5" t="n">
        <f aca="false">C26*F26/2000</f>
        <v>60.3648</v>
      </c>
      <c r="I26" s="5" t="n">
        <f aca="false">D26/1000</f>
        <v>0.8849</v>
      </c>
      <c r="J26" s="5" t="n">
        <f aca="false">H26*I26</f>
        <v>53.41681152</v>
      </c>
      <c r="K26" s="5" t="n">
        <f aca="false">J26*2</f>
        <v>106.83362304</v>
      </c>
      <c r="L26" s="5" t="n">
        <f aca="false">D26*F26/2000</f>
        <v>28.3168</v>
      </c>
    </row>
    <row r="27" customFormat="false" ht="15.75" hidden="false" customHeight="false" outlineLevel="0" collapsed="false">
      <c r="A27" s="4"/>
      <c r="B27" s="4"/>
      <c r="C27" s="6" t="n">
        <v>3642.4</v>
      </c>
      <c r="D27" s="6" t="n">
        <v>525.2</v>
      </c>
      <c r="E27" s="6" t="n">
        <v>1.791</v>
      </c>
      <c r="F27" s="7"/>
      <c r="G27" s="5" t="n">
        <f aca="false">E27*F26</f>
        <v>114.624</v>
      </c>
      <c r="H27" s="5" t="n">
        <f aca="false">C27*F26/2000</f>
        <v>116.5568</v>
      </c>
      <c r="I27" s="5" t="n">
        <f aca="false">D27/1000</f>
        <v>0.5252</v>
      </c>
      <c r="J27" s="5" t="n">
        <f aca="false">H27*I27</f>
        <v>61.21563136</v>
      </c>
      <c r="K27" s="5" t="n">
        <f aca="false">J27*2</f>
        <v>122.43126272</v>
      </c>
      <c r="L27" s="5" t="n">
        <f aca="false">D27*F26/2000</f>
        <v>16.8064</v>
      </c>
    </row>
    <row r="28" customFormat="false" ht="15.75" hidden="false" customHeight="false" outlineLevel="0" collapsed="false">
      <c r="A28" s="2" t="n">
        <v>2048</v>
      </c>
      <c r="B28" s="2" t="n">
        <v>128</v>
      </c>
      <c r="C28" s="6" t="n">
        <v>3645.1</v>
      </c>
      <c r="D28" s="6" t="n">
        <v>956.5</v>
      </c>
      <c r="E28" s="6" t="n">
        <v>3.238</v>
      </c>
      <c r="F28" s="2" t="n">
        <v>32</v>
      </c>
      <c r="G28" s="5" t="n">
        <f aca="false">E28*F28</f>
        <v>103.616</v>
      </c>
      <c r="H28" s="5" t="n">
        <f aca="false">C28*F28/2000</f>
        <v>58.3216</v>
      </c>
      <c r="I28" s="5" t="n">
        <f aca="false">D28/1000</f>
        <v>0.9565</v>
      </c>
      <c r="J28" s="5" t="n">
        <f aca="false">H28*I28</f>
        <v>55.7846104</v>
      </c>
      <c r="K28" s="5" t="n">
        <f aca="false">J28*2</f>
        <v>111.5692208</v>
      </c>
      <c r="L28" s="5" t="n">
        <f aca="false">D28*F28/2000</f>
        <v>15.304</v>
      </c>
    </row>
  </sheetData>
  <mergeCells count="14">
    <mergeCell ref="B2:G2"/>
    <mergeCell ref="A14:F14"/>
    <mergeCell ref="A17:A19"/>
    <mergeCell ref="B17:B19"/>
    <mergeCell ref="F17:F19"/>
    <mergeCell ref="A20:A22"/>
    <mergeCell ref="B20:B22"/>
    <mergeCell ref="F20:F22"/>
    <mergeCell ref="A23:A25"/>
    <mergeCell ref="B23:B25"/>
    <mergeCell ref="F23:F25"/>
    <mergeCell ref="A26:A27"/>
    <mergeCell ref="B26:B27"/>
    <mergeCell ref="F26:F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9"/>
  <sheetViews>
    <sheetView showFormulas="false" showGridLines="true" showRowColHeaders="true" showZeros="true" rightToLeft="false" tabSelected="false" showOutlineSymbols="true" defaultGridColor="true" view="normal" topLeftCell="A1" colorId="64" zoomScale="181" zoomScaleNormal="181" zoomScalePageLayoutView="100" workbookViewId="0">
      <selection pane="topLeft" activeCell="D18" activeCellId="0" sqref="D18"/>
    </sheetView>
  </sheetViews>
  <sheetFormatPr defaultColWidth="11" defaultRowHeight="15.75" zeroHeight="false" outlineLevelRow="0" outlineLevelCol="0"/>
  <sheetData>
    <row r="2" customFormat="false" ht="15.75" hidden="false" customHeight="false" outlineLevel="0" collapsed="false">
      <c r="B2" s="8" t="s">
        <v>16</v>
      </c>
      <c r="C2" s="8"/>
      <c r="D2" s="8"/>
    </row>
    <row r="4" customFormat="false" ht="15.75" hidden="false" customHeight="false" outlineLevel="0" collapsed="false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</row>
    <row r="5" customFormat="false" ht="15.75" hidden="false" customHeight="false" outlineLevel="0" collapsed="false">
      <c r="A5" s="10" t="n">
        <v>2048</v>
      </c>
      <c r="B5" s="10" t="n">
        <v>8</v>
      </c>
      <c r="C5" s="9" t="n">
        <v>347.5</v>
      </c>
      <c r="D5" s="9" t="n">
        <v>822.1</v>
      </c>
      <c r="E5" s="9" t="n">
        <v>0.285</v>
      </c>
    </row>
    <row r="6" customFormat="false" ht="15.75" hidden="false" customHeight="false" outlineLevel="0" collapsed="false">
      <c r="A6" s="10"/>
      <c r="B6" s="10"/>
      <c r="C6" s="9" t="n">
        <v>564.7</v>
      </c>
      <c r="D6" s="9" t="n">
        <v>462.5</v>
      </c>
      <c r="E6" s="9" t="n">
        <v>0.26</v>
      </c>
    </row>
    <row r="7" customFormat="false" ht="15.75" hidden="false" customHeight="false" outlineLevel="0" collapsed="false">
      <c r="A7" s="10"/>
      <c r="B7" s="10"/>
      <c r="C7" s="9" t="n">
        <v>999.3</v>
      </c>
      <c r="D7" s="9" t="n">
        <v>284.5</v>
      </c>
      <c r="E7" s="9" t="n">
        <v>0.281</v>
      </c>
    </row>
    <row r="8" customFormat="false" ht="15.75" hidden="false" customHeight="false" outlineLevel="0" collapsed="false">
      <c r="A8" s="10" t="n">
        <v>2048</v>
      </c>
      <c r="B8" s="10" t="n">
        <v>7</v>
      </c>
      <c r="C8" s="9" t="n">
        <v>320</v>
      </c>
      <c r="D8" s="9" t="n">
        <v>821</v>
      </c>
      <c r="E8" s="9" t="n">
        <v>0.262</v>
      </c>
    </row>
    <row r="9" customFormat="false" ht="15.75" hidden="false" customHeight="false" outlineLevel="0" collapsed="false">
      <c r="A9" s="10"/>
      <c r="B9" s="10"/>
      <c r="C9" s="9" t="n">
        <v>509.7</v>
      </c>
      <c r="D9" s="9" t="n">
        <v>461.4</v>
      </c>
      <c r="E9" s="9" t="n">
        <v>0.234</v>
      </c>
    </row>
    <row r="10" customFormat="false" ht="15.75" hidden="false" customHeight="false" outlineLevel="0" collapsed="false">
      <c r="A10" s="10"/>
      <c r="B10" s="10"/>
      <c r="C10" s="9" t="n">
        <v>889.4</v>
      </c>
      <c r="D10" s="9" t="n">
        <v>283.4</v>
      </c>
      <c r="E10" s="9" t="n">
        <v>0.25</v>
      </c>
    </row>
    <row r="11" customFormat="false" ht="15.75" hidden="false" customHeight="false" outlineLevel="0" collapsed="false">
      <c r="A11" s="10" t="n">
        <v>2048</v>
      </c>
      <c r="B11" s="10" t="n">
        <v>6</v>
      </c>
      <c r="C11" s="9" t="n">
        <v>292.5</v>
      </c>
      <c r="D11" s="9" t="n">
        <v>819.9</v>
      </c>
      <c r="E11" s="9" t="n">
        <v>0.239</v>
      </c>
    </row>
    <row r="12" customFormat="false" ht="15.75" hidden="false" customHeight="false" outlineLevel="0" collapsed="false">
      <c r="A12" s="10" t="n">
        <v>2048</v>
      </c>
      <c r="B12" s="10"/>
      <c r="C12" s="9" t="n">
        <v>454.7</v>
      </c>
      <c r="D12" s="9" t="n">
        <v>460.2</v>
      </c>
      <c r="E12" s="9" t="n">
        <v>0.209</v>
      </c>
    </row>
    <row r="13" customFormat="false" ht="15.75" hidden="false" customHeight="false" outlineLevel="0" collapsed="false">
      <c r="A13" s="10"/>
      <c r="B13" s="10"/>
      <c r="C13" s="9" t="n">
        <v>779.5</v>
      </c>
      <c r="D13" s="9" t="n">
        <v>282.3</v>
      </c>
      <c r="E13" s="9" t="n">
        <v>0.218</v>
      </c>
    </row>
    <row r="14" customFormat="false" ht="15.75" hidden="false" customHeight="false" outlineLevel="0" collapsed="false">
      <c r="A14" s="10" t="n">
        <v>1024</v>
      </c>
      <c r="B14" s="10" t="n">
        <v>16</v>
      </c>
      <c r="C14" s="9" t="n">
        <v>564.7</v>
      </c>
      <c r="D14" s="9" t="n">
        <v>481.7</v>
      </c>
      <c r="E14" s="9" t="n">
        <v>0.269</v>
      </c>
    </row>
    <row r="15" customFormat="false" ht="15.75" hidden="false" customHeight="false" outlineLevel="0" collapsed="false">
      <c r="A15" s="10"/>
      <c r="B15" s="10"/>
      <c r="C15" s="9" t="n">
        <v>999.3</v>
      </c>
      <c r="D15" s="9" t="n">
        <v>296.7</v>
      </c>
      <c r="E15" s="9" t="n">
        <v>0.29</v>
      </c>
    </row>
    <row r="16" customFormat="false" ht="15.75" hidden="false" customHeight="false" outlineLevel="0" collapsed="false">
      <c r="A16" s="10"/>
      <c r="B16" s="10"/>
      <c r="C16" s="9" t="n">
        <v>1876</v>
      </c>
      <c r="D16" s="9" t="n">
        <v>206.1</v>
      </c>
      <c r="E16" s="9" t="n">
        <v>0.373</v>
      </c>
    </row>
    <row r="17" customFormat="false" ht="15.75" hidden="false" customHeight="false" outlineLevel="0" collapsed="false">
      <c r="A17" s="10" t="n">
        <v>2032</v>
      </c>
      <c r="B17" s="10" t="n">
        <v>8</v>
      </c>
      <c r="C17" s="9" t="n">
        <v>347.5</v>
      </c>
      <c r="D17" s="9" t="n">
        <v>816.7</v>
      </c>
      <c r="E17" s="9" t="n">
        <v>0.283</v>
      </c>
    </row>
    <row r="18" customFormat="false" ht="15.75" hidden="false" customHeight="false" outlineLevel="0" collapsed="false">
      <c r="A18" s="10" t="n">
        <v>2016</v>
      </c>
      <c r="B18" s="10" t="n">
        <v>8</v>
      </c>
      <c r="C18" s="9" t="n">
        <v>347.5</v>
      </c>
      <c r="D18" s="9" t="n">
        <v>811.2</v>
      </c>
      <c r="E18" s="9" t="n">
        <v>0.281</v>
      </c>
    </row>
    <row r="19" customFormat="false" ht="15.75" hidden="false" customHeight="false" outlineLevel="0" collapsed="false">
      <c r="A19" s="10"/>
      <c r="B19" s="10"/>
      <c r="C19" s="9" t="n">
        <v>564.7</v>
      </c>
      <c r="D19" s="9" t="n">
        <v>457</v>
      </c>
      <c r="E19" s="9" t="n">
        <v>0.257</v>
      </c>
    </row>
  </sheetData>
  <mergeCells count="11">
    <mergeCell ref="B2:D2"/>
    <mergeCell ref="A5:A7"/>
    <mergeCell ref="B5:B7"/>
    <mergeCell ref="A8:A10"/>
    <mergeCell ref="B8:B10"/>
    <mergeCell ref="A11:A13"/>
    <mergeCell ref="B11:B13"/>
    <mergeCell ref="A14:A16"/>
    <mergeCell ref="B14:B16"/>
    <mergeCell ref="A18:A19"/>
    <mergeCell ref="B18:B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5:F14"/>
  <sheetViews>
    <sheetView showFormulas="false" showGridLines="true" showRowColHeaders="true" showZeros="true" rightToLeft="false" tabSelected="true" showOutlineSymbols="true" defaultGridColor="true" view="normal" topLeftCell="A10" colorId="64" zoomScale="181" zoomScaleNormal="181" zoomScalePageLayoutView="100" workbookViewId="0">
      <selection pane="topLeft" activeCell="A11" activeCellId="0" sqref="A11"/>
    </sheetView>
  </sheetViews>
  <sheetFormatPr defaultColWidth="10.4921875" defaultRowHeight="15.75" zeroHeight="false" outlineLevelRow="0" outlineLevelCol="0"/>
  <cols>
    <col collapsed="false" customWidth="true" hidden="false" outlineLevel="0" max="1" min="1" style="0" width="21.5"/>
    <col collapsed="false" customWidth="true" hidden="false" outlineLevel="0" max="2" min="2" style="0" width="20.5"/>
    <col collapsed="false" customWidth="true" hidden="false" outlineLevel="0" max="3" min="3" style="0" width="21"/>
    <col collapsed="false" customWidth="true" hidden="false" outlineLevel="0" max="4" min="4" style="0" width="20.83"/>
    <col collapsed="false" customWidth="true" hidden="false" outlineLevel="0" max="6" min="6" style="0" width="14.39"/>
  </cols>
  <sheetData>
    <row r="5" customFormat="false" ht="15.75" hidden="false" customHeight="false" outlineLevel="0" collapsed="false">
      <c r="B5" s="11" t="s">
        <v>17</v>
      </c>
      <c r="C5" s="11"/>
      <c r="D5" s="11"/>
      <c r="E5" s="11"/>
    </row>
    <row r="8" customFormat="false" ht="15.75" hidden="false" customHeight="false" outlineLevel="0" collapsed="false">
      <c r="A8" s="12" t="s">
        <v>18</v>
      </c>
      <c r="B8" s="12" t="s">
        <v>19</v>
      </c>
      <c r="C8" s="12" t="s">
        <v>20</v>
      </c>
      <c r="D8" s="12" t="s">
        <v>21</v>
      </c>
      <c r="E8" s="12" t="s">
        <v>22</v>
      </c>
      <c r="F8" s="12" t="s">
        <v>23</v>
      </c>
    </row>
    <row r="9" customFormat="false" ht="76.1" hidden="false" customHeight="true" outlineLevel="0" collapsed="false">
      <c r="A9" s="13" t="s">
        <v>24</v>
      </c>
      <c r="B9" s="9" t="s">
        <v>25</v>
      </c>
      <c r="C9" s="13" t="s">
        <v>26</v>
      </c>
      <c r="D9" s="9" t="s">
        <v>27</v>
      </c>
      <c r="E9" s="9" t="s">
        <v>28</v>
      </c>
    </row>
    <row r="10" customFormat="false" ht="76.6" hidden="false" customHeight="true" outlineLevel="0" collapsed="false">
      <c r="A10" s="13" t="s">
        <v>29</v>
      </c>
      <c r="B10" s="9" t="s">
        <v>30</v>
      </c>
      <c r="C10" s="9" t="s">
        <v>31</v>
      </c>
      <c r="D10" s="9" t="s">
        <v>27</v>
      </c>
      <c r="E10" s="9" t="s">
        <v>32</v>
      </c>
    </row>
    <row r="11" customFormat="false" ht="15.75" hidden="false" customHeight="false" outlineLevel="0" collapsed="false">
      <c r="A11" s="13" t="s">
        <v>33</v>
      </c>
      <c r="B11" s="9" t="s">
        <v>34</v>
      </c>
      <c r="C11" s="9" t="s">
        <v>35</v>
      </c>
      <c r="D11" s="9" t="s">
        <v>36</v>
      </c>
      <c r="E11" s="9" t="s">
        <v>37</v>
      </c>
    </row>
    <row r="12" customFormat="false" ht="79.05" hidden="false" customHeight="true" outlineLevel="0" collapsed="false">
      <c r="A12" s="0" t="s">
        <v>38</v>
      </c>
      <c r="B12" s="0" t="s">
        <v>39</v>
      </c>
      <c r="C12" s="0" t="s">
        <v>31</v>
      </c>
      <c r="D12" s="0" t="s">
        <v>40</v>
      </c>
      <c r="E12" s="14" t="n">
        <v>799.95</v>
      </c>
    </row>
    <row r="13" customFormat="false" ht="77.45" hidden="false" customHeight="true" outlineLevel="0" collapsed="false">
      <c r="A13" s="0" t="s">
        <v>41</v>
      </c>
      <c r="B13" s="0" t="s">
        <v>42</v>
      </c>
      <c r="C13" s="0" t="s">
        <v>26</v>
      </c>
      <c r="D13" s="0" t="s">
        <v>43</v>
      </c>
      <c r="E13" s="14" t="n">
        <v>3195.95</v>
      </c>
    </row>
    <row r="14" customFormat="false" ht="77" hidden="false" customHeight="true" outlineLevel="0" collapsed="false">
      <c r="A14" s="0" t="s">
        <v>44</v>
      </c>
      <c r="B14" s="0" t="s">
        <v>45</v>
      </c>
      <c r="C14" s="0" t="s">
        <v>46</v>
      </c>
      <c r="D14" s="0" t="s">
        <v>47</v>
      </c>
      <c r="E14" s="14" t="n">
        <v>729.95</v>
      </c>
    </row>
  </sheetData>
  <mergeCells count="1">
    <mergeCell ref="B5:E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2025-01-13T15:28:02Z</dcterms:created>
  <dc:creator>Shouyu Xie</dc:creator>
  <dc:description/>
  <dc:language>en-US</dc:language>
  <cp:lastModifiedBy/>
  <dcterms:modified xsi:type="dcterms:W3CDTF">2025-05-08T13:10:51Z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